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Priorizado" sheetId="1" state="visible" r:id="rId3"/>
    <sheet name="Resumo por Sprint" sheetId="2" state="visible" r:id="rId4"/>
  </sheets>
  <definedNames>
    <definedName function="false" hidden="true" localSheetId="0" name="_xlnm._FilterDatabase" vbProcedure="false">'Backlog Priorizado'!$A$1:$J$79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<sst xmlns="http://schemas.openxmlformats.org/spreadsheetml/2006/main" count="660" uniqueCount="278">
  <si>
    <t xml:space="preserve">Ordem</t>
  </si>
  <si>
    <t xml:space="preserve">Sprint</t>
  </si>
  <si>
    <t xml:space="preserve">Período sugerido</t>
  </si>
  <si>
    <t xml:space="preserve">Épico</t>
  </si>
  <si>
    <t xml:space="preserve">ID</t>
  </si>
  <si>
    <t xml:space="preserve">Título</t>
  </si>
  <si>
    <t xml:space="preserve">User Story</t>
  </si>
  <si>
    <t xml:space="preserve">Prioridade</t>
  </si>
  <si>
    <t xml:space="preserve">MVP</t>
  </si>
  <si>
    <t xml:space="preserve">Dependência</t>
  </si>
  <si>
    <t xml:space="preserve">Set/2026 — Base e Autenticação</t>
  </si>
  <si>
    <t xml:space="preserve">EP01 — Acesso e Controle de Usuários</t>
  </si>
  <si>
    <t xml:space="preserve">PB01</t>
  </si>
  <si>
    <t xml:space="preserve">Autenticação</t>
  </si>
  <si>
    <t xml:space="preserve">Como Usuário cadastrado, quero realizar login no P&amp;D Connect para acessar de forma segura as funcionalidades correspondentes ao meu perfil.</t>
  </si>
  <si>
    <t xml:space="preserve">Must Have</t>
  </si>
  <si>
    <t xml:space="preserve">Sim</t>
  </si>
  <si>
    <t xml:space="preserve">—</t>
  </si>
  <si>
    <t xml:space="preserve">PB02</t>
  </si>
  <si>
    <t xml:space="preserve">Encerramento de sessão</t>
  </si>
  <si>
    <t xml:space="preserve">Como Usuário autenticado, quero encerrar minha sessão para impedir que terceiros continuem utilizando minha conta.</t>
  </si>
  <si>
    <t xml:space="preserve">PB03</t>
  </si>
  <si>
    <t xml:space="preserve">Recuperação de acesso</t>
  </si>
  <si>
    <t xml:space="preserve">Como Usuário cadastrado, quero recuperar meu acesso caso esqueça minha senha para voltar a utilizar a plataforma sem intervenção técnica.</t>
  </si>
  <si>
    <t xml:space="preserve">Should Have</t>
  </si>
  <si>
    <t xml:space="preserve">PB04</t>
  </si>
  <si>
    <t xml:space="preserve">Controle de acesso por perfil</t>
  </si>
  <si>
    <t xml:space="preserve">Como Administrador, quero disponibilizar funcionalidades conforme o perfil do usuário para impedir acessos não autorizados.</t>
  </si>
  <si>
    <t xml:space="preserve">Perfis: Demandante Externo, Pesquisador, Supervisor e Administrador</t>
  </si>
  <si>
    <t xml:space="preserve">PB05</t>
  </si>
  <si>
    <t xml:space="preserve">Gerenciamento de usuários</t>
  </si>
  <si>
    <t xml:space="preserve">Como Administrador, quero consultar e gerenciar usuários para administrar os acessos à plataforma.</t>
  </si>
  <si>
    <t xml:space="preserve">PB06</t>
  </si>
  <si>
    <t xml:space="preserve">Ativação e desativação de usuários</t>
  </si>
  <si>
    <t xml:space="preserve">Como Administrador, quero ativar ou desativar contas para controlar quem pode utilizar a plataforma.</t>
  </si>
  <si>
    <t xml:space="preserve">Set/2026 — Rede de Pesquisadores</t>
  </si>
  <si>
    <t xml:space="preserve">EP02 — Gestão da Rede de Pesquisadores</t>
  </si>
  <si>
    <t xml:space="preserve">PB07</t>
  </si>
  <si>
    <t xml:space="preserve">Cadastro de pesquisador pelo Supervisor</t>
  </si>
  <si>
    <t xml:space="preserve">Como Supervisor, quero cadastrar pesquisadores na rede da AC2 para disponibilizá-los para o P&amp;D Connect e para o processo de matching.</t>
  </si>
  <si>
    <t xml:space="preserve">Não existe autocadastro público de pesquisador</t>
  </si>
  <si>
    <t xml:space="preserve">PB08</t>
  </si>
  <si>
    <t xml:space="preserve">Disponibilização de acesso ao pesquisador</t>
  </si>
  <si>
    <t xml:space="preserve">Como Pesquisador cadastrado, quero receber acesso à plataforma após meu cadastro pelo Supervisor para utilizar as funcionalidades destinadas ao meu perfil.</t>
  </si>
  <si>
    <t xml:space="preserve">PB09</t>
  </si>
  <si>
    <t xml:space="preserve">Consulta da rede de pesquisadores</t>
  </si>
  <si>
    <t xml:space="preserve">Como Supervisor, quero consultar os pesquisadores cadastrados para conhecer a composição atual da rede de pesquisa.</t>
  </si>
  <si>
    <t xml:space="preserve">PB10</t>
  </si>
  <si>
    <t xml:space="preserve">Edição do próprio perfil</t>
  </si>
  <si>
    <t xml:space="preserve">Como Pesquisador, quero editar meu perfil profissional para manter minhas informações atualizadas e melhorar a qualidade do matching.</t>
  </si>
  <si>
    <t xml:space="preserve">PB11</t>
  </si>
  <si>
    <t xml:space="preserve">Formação e titulação</t>
  </si>
  <si>
    <t xml:space="preserve">Como Pesquisador, quero cadastrar e atualizar minha formação e titulação para permitir que o sistema conheça minha qualificação acadêmica.</t>
  </si>
  <si>
    <t xml:space="preserve">PB12</t>
  </si>
  <si>
    <t xml:space="preserve">Competências e técnicas</t>
  </si>
  <si>
    <t xml:space="preserve">Como Pesquisador, quero cadastrar minhas competências e técnicas para permitir que sejam consideradas durante o matching.</t>
  </si>
  <si>
    <t xml:space="preserve">PB13</t>
  </si>
  <si>
    <t xml:space="preserve">Linhas de pesquisa</t>
  </si>
  <si>
    <t xml:space="preserve">Como Pesquisador, quero informar minhas linhas de pesquisa para melhorar minha compatibilidade com oportunidades de P&amp;D.</t>
  </si>
  <si>
    <t xml:space="preserve">PB14</t>
  </si>
  <si>
    <t xml:space="preserve">Experiência profissional/científica</t>
  </si>
  <si>
    <t xml:space="preserve">Como Pesquisador, quero registrar minhas experiências relevantes para fornecer mais informações para avaliação de aderência às oportunidades.</t>
  </si>
  <si>
    <t xml:space="preserve">PB15</t>
  </si>
  <si>
    <t xml:space="preserve">Disponibilidade</t>
  </si>
  <si>
    <t xml:space="preserve">Como Pesquisador, quero manter minha disponibilidade atualizada para permitir que seja considerada na formação de equipes potenciais.</t>
  </si>
  <si>
    <t xml:space="preserve">PB16</t>
  </si>
  <si>
    <t xml:space="preserve">Gestão do cadastro de pesquisadores</t>
  </si>
  <si>
    <t xml:space="preserve">Como Supervisor, quero editar e administrar os pesquisadores cadastrados para manter a rede interna consistente.</t>
  </si>
  <si>
    <t xml:space="preserve">Set-Out/2026 — Gestão de Oportunidades</t>
  </si>
  <si>
    <t xml:space="preserve">EP03 — Gestão de Oportunidades de P&amp;D</t>
  </si>
  <si>
    <t xml:space="preserve">PB17</t>
  </si>
  <si>
    <t xml:space="preserve">Cadastro de problema externo</t>
  </si>
  <si>
    <t xml:space="preserve">Como Demandante Externo, quero cadastrar um problema ou desafio da minha organização para submetê-lo ao processo de P&amp;D da AC2.</t>
  </si>
  <si>
    <t xml:space="preserve">PB18</t>
  </si>
  <si>
    <t xml:space="preserve">Cadastro de ideia interna</t>
  </si>
  <si>
    <t xml:space="preserve">Como Supervisor, quero cadastrar uma ideia interna da AC2 para submetê-la ao mesmo processo de estruturação e avaliação.</t>
  </si>
  <si>
    <t xml:space="preserve">Somente o Supervisor cadastra ideias internas</t>
  </si>
  <si>
    <t xml:space="preserve">PB19</t>
  </si>
  <si>
    <t xml:space="preserve">Classificação da origem da oportunidade</t>
  </si>
  <si>
    <t xml:space="preserve">Como Supervisor, quero identificar se uma oportunidade surgiu de demanda externa ou ideia interna para manter seu contexto e tratamento adequados.</t>
  </si>
  <si>
    <t xml:space="preserve">PB20</t>
  </si>
  <si>
    <t xml:space="preserve">Registro do contexto da oportunidade</t>
  </si>
  <si>
    <t xml:space="preserve">Como Usuário responsável pelo cadastro, quero informar contexto, problema, necessidade e demais informações iniciais para fornecer dados suficientes à análise da oportunidade.</t>
  </si>
  <si>
    <t xml:space="preserve">PB21</t>
  </si>
  <si>
    <t xml:space="preserve">Anexos da oportunidade</t>
  </si>
  <si>
    <t xml:space="preserve">Como Demandante Externo ou Supervisor, quero anexar documentos relevantes à oportunidade para complementar seu contexto.</t>
  </si>
  <si>
    <t xml:space="preserve">PB22</t>
  </si>
  <si>
    <t xml:space="preserve">Consulta das próprias oportunidades</t>
  </si>
  <si>
    <t xml:space="preserve">Como Demandante Externo, quero visualizar minhas oportunidades para acompanhar seu andamento.</t>
  </si>
  <si>
    <t xml:space="preserve">PB23</t>
  </si>
  <si>
    <t xml:space="preserve">Consulta geral de oportunidades</t>
  </si>
  <si>
    <t xml:space="preserve">Como Supervisor, quero visualizar as oportunidades cadastradas para acompanhar o pipeline de P&amp;D.</t>
  </si>
  <si>
    <t xml:space="preserve">PB24</t>
  </si>
  <si>
    <t xml:space="preserve">Visualização detalhada da oportunidade</t>
  </si>
  <si>
    <t xml:space="preserve">Como Supervisor, quero acessar todas as informações permitidas de uma oportunidade para analisá-la durante seu ciclo.</t>
  </si>
  <si>
    <t xml:space="preserve">PB25</t>
  </si>
  <si>
    <t xml:space="preserve">Status da oportunidade</t>
  </si>
  <si>
    <t xml:space="preserve">Como Usuário autorizado, quero visualizar o status atual de uma oportunidade para entender em qual etapa do processo ela se encontra.</t>
  </si>
  <si>
    <t xml:space="preserve">PB26</t>
  </si>
  <si>
    <t xml:space="preserve">Solicitação de informações adicionais</t>
  </si>
  <si>
    <t xml:space="preserve">Como Supervisor, quero solicitar informações complementares ao Demandante Externo para resolver lacunas existentes na oportunidade.</t>
  </si>
  <si>
    <t xml:space="preserve">PB27</t>
  </si>
  <si>
    <t xml:space="preserve">Complementação pelo Demandante</t>
  </si>
  <si>
    <t xml:space="preserve">Como Demandante Externo, quero responder às solicitações de complementação para fornecer ao Supervisor as informações necessárias.</t>
  </si>
  <si>
    <t xml:space="preserve">PB28</t>
  </si>
  <si>
    <t xml:space="preserve">Pesquisa e filtros de oportunidades</t>
  </si>
  <si>
    <t xml:space="preserve">Como Supervisor, quero pesquisar e filtrar oportunidades para localizar rapidamente os registros relevantes.</t>
  </si>
  <si>
    <t xml:space="preserve">Could Have</t>
  </si>
  <si>
    <t xml:space="preserve">Não</t>
  </si>
  <si>
    <t xml:space="preserve">Out/2026 — Copiloto IA</t>
  </si>
  <si>
    <t xml:space="preserve">EP04 — Copiloto IA de Estruturação</t>
  </si>
  <si>
    <t xml:space="preserve">PB29</t>
  </si>
  <si>
    <t xml:space="preserve">Interpretação inicial da oportunidade</t>
  </si>
  <si>
    <t xml:space="preserve">Como Supervisor, quero obter interpretação das informações da oportunidade pelo Copiloto IA para auxiliar a transformação do conteúdo inicial em proposta de pesquisa.</t>
  </si>
  <si>
    <t xml:space="preserve">PB30</t>
  </si>
  <si>
    <t xml:space="preserve">Perguntas orientadoras</t>
  </si>
  <si>
    <t xml:space="preserve">Como Supervisor, quero receber perguntas sobre informações ausentes ou insuficientes para melhorar a estruturação da proposta.</t>
  </si>
  <si>
    <t xml:space="preserve">PB31</t>
  </si>
  <si>
    <t xml:space="preserve">Estruturação do problema de pesquisa</t>
  </si>
  <si>
    <t xml:space="preserve">Como Supervisor, quero receber apoio na formulação do problema de pesquisa para tornar a oportunidade cientificamente mais estruturada.</t>
  </si>
  <si>
    <t xml:space="preserve">PB32</t>
  </si>
  <si>
    <t xml:space="preserve">Estruturação da hipótese</t>
  </si>
  <si>
    <t xml:space="preserve">Como Supervisor, quero receber apoio na formulação de uma hipótese quando aplicável para estruturar cientificamente a proposta.</t>
  </si>
  <si>
    <t xml:space="preserve">PB33</t>
  </si>
  <si>
    <t xml:space="preserve">Estruturação dos objetivos</t>
  </si>
  <si>
    <t xml:space="preserve">Como Supervisor, quero obter apoio na definição do objetivo geral e objetivos específicos para organizar o que a pesquisa pretende alcançar.</t>
  </si>
  <si>
    <t xml:space="preserve">PB34</t>
  </si>
  <si>
    <t xml:space="preserve">Estruturação da metodologia</t>
  </si>
  <si>
    <t xml:space="preserve">Como Supervisor, quero obter apoio na construção da metodologia para organizar como a investigação poderá ser realizada.</t>
  </si>
  <si>
    <t xml:space="preserve">PB35</t>
  </si>
  <si>
    <t xml:space="preserve">Resultados esperados</t>
  </si>
  <si>
    <t xml:space="preserve">Como Supervisor, quero estruturar com apoio da IA os resultados esperados para explicitar o que o projeto pretende produzir ou demonstrar.</t>
  </si>
  <si>
    <t xml:space="preserve">PB36</t>
  </si>
  <si>
    <t xml:space="preserve">Caracterização da inovação</t>
  </si>
  <si>
    <t xml:space="preserve">Como Supervisor, quero obter apoio na caracterização do componente inovador para evidenciar o potencial de inovação da proposta.</t>
  </si>
  <si>
    <t xml:space="preserve">PB37</t>
  </si>
  <si>
    <t xml:space="preserve">Infraestrutura e recursos</t>
  </si>
  <si>
    <t xml:space="preserve">Como Supervisor, quero identificar infraestrutura e recursos potencialmente necessários para apoiar a avaliação da viabilidade da proposta.</t>
  </si>
  <si>
    <t xml:space="preserve">PB38</t>
  </si>
  <si>
    <t xml:space="preserve">Identificação de lacunas</t>
  </si>
  <si>
    <t xml:space="preserve">Como Supervisor, quero identificar informações ausentes, inconsistentes ou pouco desenvolvidas para saber quais partes da proposta precisam ser aprimoradas.</t>
  </si>
  <si>
    <t xml:space="preserve">PB39</t>
  </si>
  <si>
    <t xml:space="preserve">Recomendações de melhoria</t>
  </si>
  <si>
    <t xml:space="preserve">Como Supervisor, quero receber recomendações para os pontos frágeis identificados para orientar a melhoria da proposta.</t>
  </si>
  <si>
    <t xml:space="preserve">PB40</t>
  </si>
  <si>
    <t xml:space="preserve">Geração da proposta estruturada</t>
  </si>
  <si>
    <t xml:space="preserve">Como Supervisor, quero consolidar as informações trabalhadas pelo Copiloto em uma proposta estruturada para utilizá-la nas próximas etapas do processo.</t>
  </si>
  <si>
    <t xml:space="preserve">PB41</t>
  </si>
  <si>
    <t xml:space="preserve">Revisão humana do conteúdo gerado</t>
  </si>
  <si>
    <t xml:space="preserve">Como Supervisor, quero revisar e alterar o conteúdo produzido pela IA para impedir que uma saída automática seja tratada como decisão definitiva.</t>
  </si>
  <si>
    <t xml:space="preserve">Out-Nov/2026 — Matching e Equipe Potencial</t>
  </si>
  <si>
    <t xml:space="preserve">EP05 — Competências, Matching e Equipe Potencial</t>
  </si>
  <si>
    <t xml:space="preserve">PB42</t>
  </si>
  <si>
    <t xml:space="preserve">Identificação das competências necessárias</t>
  </si>
  <si>
    <t xml:space="preserve">Como Supervisor, quero identificar as competências necessárias à proposta para determinar quais perfis são relevantes para sua execução.</t>
  </si>
  <si>
    <t xml:space="preserve">PB43</t>
  </si>
  <si>
    <t xml:space="preserve">Matching de pesquisadores</t>
  </si>
  <si>
    <t xml:space="preserve">Como Supervisor, quero receber pesquisadores da rede interna compatíveis com as competências exigidas para auxiliar na composição da equipe potencial.</t>
  </si>
  <si>
    <t xml:space="preserve">PB44</t>
  </si>
  <si>
    <t xml:space="preserve">Matching de supervisão</t>
  </si>
  <si>
    <t xml:space="preserve">Como Supervisor, quero considerar a qualificação necessária à supervisão da pesquisa para apoiar a composição adequada da equipe.</t>
  </si>
  <si>
    <t xml:space="preserve">PB45</t>
  </si>
  <si>
    <t xml:space="preserve">Justificativa do matching</t>
  </si>
  <si>
    <t xml:space="preserve">Como Supervisor, quero visualizar os fatores que levaram um pesquisador a ser indicado para entender sua aderência à oportunidade.</t>
  </si>
  <si>
    <t xml:space="preserve">Considerar formação, titulação, competências, técnicas, linhas, experiência e disponibilidade</t>
  </si>
  <si>
    <t xml:space="preserve">PB46</t>
  </si>
  <si>
    <t xml:space="preserve">Composição da equipe potencial</t>
  </si>
  <si>
    <t xml:space="preserve">Como Supervisor, quero visualizar uma composição potencial de equipe baseada no matching para apoiar minha decisão.</t>
  </si>
  <si>
    <t xml:space="preserve">Não há convite/aceite/recusa pelo pesquisador</t>
  </si>
  <si>
    <t xml:space="preserve">PB47</t>
  </si>
  <si>
    <t xml:space="preserve">Ajuste manual da equipe</t>
  </si>
  <si>
    <t xml:space="preserve">Como Supervisor, quero adicionar ou remover pesquisadores da composição sugerida para adequar a equipe potencial à avaliação humana.</t>
  </si>
  <si>
    <t xml:space="preserve">PB48</t>
  </si>
  <si>
    <t xml:space="preserve">Identificação de lacunas de competência</t>
  </si>
  <si>
    <t xml:space="preserve">Como Supervisor, quero ser informado quando a rede não possuir determinada competência necessária para conhecer as limitações da equipe disponível.</t>
  </si>
  <si>
    <t xml:space="preserve">PB49</t>
  </si>
  <si>
    <t xml:space="preserve">Consulta de oportunidades pelo pesquisador</t>
  </si>
  <si>
    <t xml:space="preserve">Como Pesquisador, quero acompanhar oportunidades/projetos disponibilizados ao meu perfil para conhecer trabalhos relacionados à minha atuação.</t>
  </si>
  <si>
    <t xml:space="preserve">Não constitui convite para participação</t>
  </si>
  <si>
    <t xml:space="preserve">Nov/2026 — Pré-análise PIPE/FAPESP</t>
  </si>
  <si>
    <t xml:space="preserve">EP06 — Pré-análise PIPE/FAPESP</t>
  </si>
  <si>
    <t xml:space="preserve">PB50</t>
  </si>
  <si>
    <t xml:space="preserve">Iniciar pré-análise</t>
  </si>
  <si>
    <t xml:space="preserve">Como Supervisor, quero submeter a proposta estruturada à pré-análise de maturidade para avaliar sua aderência aos critérios de referência PIPE/FAPESP.</t>
  </si>
  <si>
    <t xml:space="preserve">PB51</t>
  </si>
  <si>
    <t xml:space="preserve">Análise do desafio tecnológico</t>
  </si>
  <si>
    <t xml:space="preserve">Como Supervisor, quero visualizar a análise do desafio tecnológico para entender o grau de definição e consistência desse aspecto.</t>
  </si>
  <si>
    <t xml:space="preserve">PB52</t>
  </si>
  <si>
    <t xml:space="preserve">Análise da inovação</t>
  </si>
  <si>
    <t xml:space="preserve">Como Supervisor, quero visualizar a análise da inovação para identificar a maturidade da caracterização inovadora.</t>
  </si>
  <si>
    <t xml:space="preserve">PB53</t>
  </si>
  <si>
    <t xml:space="preserve">Análise do plano de pesquisa</t>
  </si>
  <si>
    <t xml:space="preserve">Como Supervisor, quero avaliar a maturidade do plano de pesquisa para identificar fragilidades em sua estrutura científica.</t>
  </si>
  <si>
    <t xml:space="preserve">PB54</t>
  </si>
  <si>
    <t xml:space="preserve">Análise da equipe e supervisão</t>
  </si>
  <si>
    <t xml:space="preserve">Como Supervisor, quero avaliar a adequação da equipe potencial e da supervisão para verificar aderência às necessidades identificadas.</t>
  </si>
  <si>
    <t xml:space="preserve">PB55</t>
  </si>
  <si>
    <t xml:space="preserve">Análise da infraestrutura</t>
  </si>
  <si>
    <t xml:space="preserve">Como Supervisor, quero avaliar a infraestrutura identificada para verificar compatibilidade com as necessidades da proposta.</t>
  </si>
  <si>
    <t xml:space="preserve">PB56</t>
  </si>
  <si>
    <t xml:space="preserve">Análise de viabilidade</t>
  </si>
  <si>
    <t xml:space="preserve">Como Supervisor, quero visualizar aspectos de viabilidade identificados para apoiar a avaliação antes da decisão.</t>
  </si>
  <si>
    <t xml:space="preserve">PB57</t>
  </si>
  <si>
    <t xml:space="preserve">Lacunas da pré-análise</t>
  </si>
  <si>
    <t xml:space="preserve">Como Supervisor, quero visualizar os pontos que prejudicam a maturidade da proposta para saber o que deve ser melhorado.</t>
  </si>
  <si>
    <t xml:space="preserve">PB58</t>
  </si>
  <si>
    <t xml:space="preserve">Recomendações de adequação</t>
  </si>
  <si>
    <t xml:space="preserve">Como Supervisor, quero receber recomendações relacionadas às lacunas identificadas para orientar a evolução da proposta.</t>
  </si>
  <si>
    <t xml:space="preserve">PB59</t>
  </si>
  <si>
    <t xml:space="preserve">Reavaliação</t>
  </si>
  <si>
    <t xml:space="preserve">Como Supervisor, quero realizar nova pré-análise após alterações para verificar a evolução da proposta.</t>
  </si>
  <si>
    <t xml:space="preserve">PB60</t>
  </si>
  <si>
    <t xml:space="preserve">Relatório de maturidade</t>
  </si>
  <si>
    <t xml:space="preserve">Como Supervisor, quero visualizar um relatório consolidado da pré-análise para apoiar a decisão sobre o encaminhamento.</t>
  </si>
  <si>
    <t xml:space="preserve">Não representa nota, parecer ou decisão oficial da FAPESP</t>
  </si>
  <si>
    <t xml:space="preserve">Nov/2026 — Avaliação e Decisão</t>
  </si>
  <si>
    <t xml:space="preserve">EP07 — Avaliação e Decisão</t>
  </si>
  <si>
    <t xml:space="preserve">PB61</t>
  </si>
  <si>
    <t xml:space="preserve">Fila de oportunidades</t>
  </si>
  <si>
    <t xml:space="preserve">Como Supervisor, quero visualizar as oportunidades que necessitam de minha atuação para organizar o trabalho de avaliação.</t>
  </si>
  <si>
    <t xml:space="preserve">PB62</t>
  </si>
  <si>
    <t xml:space="preserve">Visão consolidada</t>
  </si>
  <si>
    <t xml:space="preserve">Como Supervisor, quero visualizar dados da oportunidade, proposta, matching, equipe e pré-análise em um único contexto para realizar uma avaliação informada.</t>
  </si>
  <si>
    <t xml:space="preserve">PB63</t>
  </si>
  <si>
    <t xml:space="preserve">Revisão da proposta</t>
  </si>
  <si>
    <t xml:space="preserve">Como Supervisor, quero revisar a proposta estruturada antes da decisão final para garantir que seu conteúdo esteja adequado.</t>
  </si>
  <si>
    <t xml:space="preserve">PB64</t>
  </si>
  <si>
    <t xml:space="preserve">Solicitação de revisão</t>
  </si>
  <si>
    <t xml:space="preserve">Como Supervisor, quero devolver uma oportunidade para revisão para permitir o aprimoramento de informações ou elementos necessários.</t>
  </si>
  <si>
    <t xml:space="preserve">PB65</t>
  </si>
  <si>
    <t xml:space="preserve">Registro de observações</t>
  </si>
  <si>
    <t xml:space="preserve">Como Supervisor, quero registrar observações durante a avaliação para documentar justificativas e orientações relevantes.</t>
  </si>
  <si>
    <t xml:space="preserve">PB66</t>
  </si>
  <si>
    <t xml:space="preserve">Decisão de continuidade</t>
  </si>
  <si>
    <t xml:space="preserve">Como Supervisor, quero registrar que uma oportunidade está apta a seguir para etapa posterior de P&amp;D para concluir positivamente o fluxo no P&amp;D Connect.</t>
  </si>
  <si>
    <t xml:space="preserve">PB67</t>
  </si>
  <si>
    <t xml:space="preserve">Arquivamento</t>
  </si>
  <si>
    <t xml:space="preserve">Como Supervisor, quero arquivar uma oportunidade que não seguirá adiante para encerrar seu fluxo mantendo o registro.</t>
  </si>
  <si>
    <t xml:space="preserve">PB68</t>
  </si>
  <si>
    <t xml:space="preserve">Encerramento com proposta e equipe potencial</t>
  </si>
  <si>
    <t xml:space="preserve">Como Supervisor, quero encerrar o processo com a proposta estruturada e a equipe potencial registradas para materializar a entrega final do P&amp;D Connect.</t>
  </si>
  <si>
    <t xml:space="preserve">Execução científica posterior está fora do escopo</t>
  </si>
  <si>
    <t xml:space="preserve">Nov-Dez/2026 — Dashboards e Testes de Aceitação</t>
  </si>
  <si>
    <t xml:space="preserve">EP08 — Acompanhamento, Rastreabilidade e Gestão</t>
  </si>
  <si>
    <t xml:space="preserve">PB69</t>
  </si>
  <si>
    <t xml:space="preserve">Histórico da oportunidade</t>
  </si>
  <si>
    <t xml:space="preserve">Como Supervisor, quero consultar o histórico da oportunidade para acompanhar sua evolução desde o cadastro até o encerramento.</t>
  </si>
  <si>
    <t xml:space="preserve">PB70</t>
  </si>
  <si>
    <t xml:space="preserve">Rastreabilidade das alterações</t>
  </si>
  <si>
    <t xml:space="preserve">Como Supervisor, quero identificar alterações relevantes realizadas durante o processo para compreender como a proposta evoluiu.</t>
  </si>
  <si>
    <t xml:space="preserve">PB71</t>
  </si>
  <si>
    <t xml:space="preserve">Acompanhamento pelo Demandante</t>
  </si>
  <si>
    <t xml:space="preserve">Como Demandante Externo, quero visualizar o andamento das minhas oportunidades para saber sua situação sem acessar informações internas restritas.</t>
  </si>
  <si>
    <t xml:space="preserve">PB72</t>
  </si>
  <si>
    <t xml:space="preserve">Dashboard do Supervisor</t>
  </si>
  <si>
    <t xml:space="preserve">Como Supervisor, quero visualizar um resumo das oportunidades e seus estados para acompanhar o funcionamento do processo de P&amp;D.</t>
  </si>
  <si>
    <t xml:space="preserve">PB73</t>
  </si>
  <si>
    <t xml:space="preserve">Indicadores de oportunidades</t>
  </si>
  <si>
    <t xml:space="preserve">Como Supervisor, quero consultar indicadores sobre as oportunidades para compreender volume e distribuição do pipeline.</t>
  </si>
  <si>
    <t xml:space="preserve">PB74</t>
  </si>
  <si>
    <t xml:space="preserve">Indicadores de matching</t>
  </si>
  <si>
    <t xml:space="preserve">Como Supervisor, quero visualizar indicadores relacionados ao matching para acompanhar a capacidade da rede interna de atender às competências.</t>
  </si>
  <si>
    <t xml:space="preserve">PB75</t>
  </si>
  <si>
    <t xml:space="preserve">Indicadores de maturidade</t>
  </si>
  <si>
    <t xml:space="preserve">Como Supervisor, quero consultar indicadores das pré-análises realizadas para acompanhar o nível de maturidade das oportunidades.</t>
  </si>
  <si>
    <t xml:space="preserve">PB76</t>
  </si>
  <si>
    <t xml:space="preserve">Relatório de oportunidade</t>
  </si>
  <si>
    <t xml:space="preserve">Como Supervisor, quero gerar uma visão consolidada de uma oportunidade para apoiar consulta e apresentação.</t>
  </si>
  <si>
    <t xml:space="preserve">PB77</t>
  </si>
  <si>
    <t xml:space="preserve">Relatório de equipe potencial</t>
  </si>
  <si>
    <t xml:space="preserve">Como Supervisor, quero gerar uma visão da equipe potencial e respectivas aderências para documentar o resultado do matching.</t>
  </si>
  <si>
    <t xml:space="preserve">PB78</t>
  </si>
  <si>
    <t xml:space="preserve">Relatório da pré-análise</t>
  </si>
  <si>
    <t xml:space="preserve">Como Supervisor, quero gerar uma visão consolidada da pré-análise para documentar resultados, lacunas e recomendações.</t>
  </si>
  <si>
    <t xml:space="preserve">Total PBIs</t>
  </si>
  <si>
    <t xml:space="preserve">MVP = Sim</t>
  </si>
  <si>
    <t xml:space="preserve">MVP = Não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</si>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</sst>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D9EAD3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C6E0B4"/>
        <bgColor rgb="FFD9EAD3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D9EA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FE699"/>
      <rgbColor rgb="FF99CCFF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7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2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n">
        <v>1</v>
      </c>
      <c r="B2" s="3" t="n">
        <v>1</v>
      </c>
      <c r="C2" s="4" t="s">
        <v>10</v>
      </c>
      <c r="D2" s="5" t="s">
        <v>11</v>
      </c>
      <c r="E2" s="6" t="s">
        <v>12</v>
      </c>
      <c r="F2" s="7" t="s">
        <v>13</v>
      </c>
      <c r="G2" s="7" t="s">
        <v>14</v>
      </c>
      <c r="H2" s="8" t="s">
        <v>15</v>
      </c>
      <c r="I2" s="9" t="s">
        <v>16</v>
      </c>
      <c r="J2" s="7" t="s">
        <v>17</v>
      </c>
    </row>
    <row r="3" customFormat="false" ht="23.85" hidden="false" customHeight="false" outlineLevel="0" collapsed="false">
      <c r="A3" s="2" t="n">
        <v>2</v>
      </c>
      <c r="B3" s="3" t="n">
        <v>1</v>
      </c>
      <c r="C3" s="4" t="s">
        <v>10</v>
      </c>
      <c r="D3" s="5" t="s">
        <v>11</v>
      </c>
      <c r="E3" s="6" t="s">
        <v>18</v>
      </c>
      <c r="F3" s="7" t="s">
        <v>19</v>
      </c>
      <c r="G3" s="7" t="s">
        <v>20</v>
      </c>
      <c r="H3" s="8" t="s">
        <v>15</v>
      </c>
      <c r="I3" s="9" t="s">
        <v>16</v>
      </c>
      <c r="J3" s="7" t="s">
        <v>12</v>
      </c>
    </row>
    <row r="4" customFormat="false" ht="35.05" hidden="false" customHeight="false" outlineLevel="0" collapsed="false">
      <c r="A4" s="2" t="n">
        <v>3</v>
      </c>
      <c r="B4" s="3" t="n">
        <v>1</v>
      </c>
      <c r="C4" s="4" t="s">
        <v>10</v>
      </c>
      <c r="D4" s="5" t="s">
        <v>11</v>
      </c>
      <c r="E4" s="6" t="s">
        <v>21</v>
      </c>
      <c r="F4" s="7" t="s">
        <v>22</v>
      </c>
      <c r="G4" s="7" t="s">
        <v>23</v>
      </c>
      <c r="H4" s="10" t="s">
        <v>24</v>
      </c>
      <c r="I4" s="9" t="s">
        <v>16</v>
      </c>
      <c r="J4" s="7" t="s">
        <v>12</v>
      </c>
    </row>
    <row r="5" customFormat="false" ht="35.05" hidden="false" customHeight="false" outlineLevel="0" collapsed="false">
      <c r="A5" s="2" t="n">
        <v>4</v>
      </c>
      <c r="B5" s="3" t="n">
        <v>1</v>
      </c>
      <c r="C5" s="4" t="s">
        <v>10</v>
      </c>
      <c r="D5" s="5" t="s">
        <v>11</v>
      </c>
      <c r="E5" s="6" t="s">
        <v>25</v>
      </c>
      <c r="F5" s="7" t="s">
        <v>26</v>
      </c>
      <c r="G5" s="7" t="s">
        <v>27</v>
      </c>
      <c r="H5" s="8" t="s">
        <v>15</v>
      </c>
      <c r="I5" s="9" t="s">
        <v>16</v>
      </c>
      <c r="J5" s="7" t="s">
        <v>28</v>
      </c>
    </row>
    <row r="6" customFormat="false" ht="23.85" hidden="false" customHeight="false" outlineLevel="0" collapsed="false">
      <c r="A6" s="2" t="n">
        <v>5</v>
      </c>
      <c r="B6" s="3" t="n">
        <v>1</v>
      </c>
      <c r="C6" s="4" t="s">
        <v>10</v>
      </c>
      <c r="D6" s="5" t="s">
        <v>11</v>
      </c>
      <c r="E6" s="6" t="s">
        <v>29</v>
      </c>
      <c r="F6" s="7" t="s">
        <v>30</v>
      </c>
      <c r="G6" s="7" t="s">
        <v>31</v>
      </c>
      <c r="H6" s="8" t="s">
        <v>15</v>
      </c>
      <c r="I6" s="9" t="s">
        <v>16</v>
      </c>
      <c r="J6" s="7" t="s">
        <v>17</v>
      </c>
    </row>
    <row r="7" customFormat="false" ht="23.85" hidden="false" customHeight="false" outlineLevel="0" collapsed="false">
      <c r="A7" s="2" t="n">
        <v>6</v>
      </c>
      <c r="B7" s="3" t="n">
        <v>1</v>
      </c>
      <c r="C7" s="4" t="s">
        <v>10</v>
      </c>
      <c r="D7" s="5" t="s">
        <v>11</v>
      </c>
      <c r="E7" s="6" t="s">
        <v>32</v>
      </c>
      <c r="F7" s="7" t="s">
        <v>33</v>
      </c>
      <c r="G7" s="7" t="s">
        <v>34</v>
      </c>
      <c r="H7" s="10" t="s">
        <v>24</v>
      </c>
      <c r="I7" s="9" t="s">
        <v>16</v>
      </c>
      <c r="J7" s="7" t="s">
        <v>29</v>
      </c>
    </row>
    <row r="8" customFormat="false" ht="35.05" hidden="false" customHeight="false" outlineLevel="0" collapsed="false">
      <c r="A8" s="2" t="n">
        <v>7</v>
      </c>
      <c r="B8" s="3" t="n">
        <v>2</v>
      </c>
      <c r="C8" s="4" t="s">
        <v>35</v>
      </c>
      <c r="D8" s="5" t="s">
        <v>36</v>
      </c>
      <c r="E8" s="6" t="s">
        <v>37</v>
      </c>
      <c r="F8" s="7" t="s">
        <v>38</v>
      </c>
      <c r="G8" s="7" t="s">
        <v>39</v>
      </c>
      <c r="H8" s="8" t="s">
        <v>15</v>
      </c>
      <c r="I8" s="9" t="s">
        <v>16</v>
      </c>
      <c r="J8" s="7" t="s">
        <v>40</v>
      </c>
    </row>
    <row r="9" customFormat="false" ht="35.05" hidden="false" customHeight="false" outlineLevel="0" collapsed="false">
      <c r="A9" s="2" t="n">
        <v>8</v>
      </c>
      <c r="B9" s="3" t="n">
        <v>2</v>
      </c>
      <c r="C9" s="4" t="s">
        <v>35</v>
      </c>
      <c r="D9" s="5" t="s">
        <v>36</v>
      </c>
      <c r="E9" s="6" t="s">
        <v>41</v>
      </c>
      <c r="F9" s="7" t="s">
        <v>42</v>
      </c>
      <c r="G9" s="7" t="s">
        <v>43</v>
      </c>
      <c r="H9" s="8" t="s">
        <v>15</v>
      </c>
      <c r="I9" s="9" t="s">
        <v>16</v>
      </c>
      <c r="J9" s="7" t="s">
        <v>37</v>
      </c>
    </row>
    <row r="10" customFormat="false" ht="23.85" hidden="false" customHeight="false" outlineLevel="0" collapsed="false">
      <c r="A10" s="2" t="n">
        <v>9</v>
      </c>
      <c r="B10" s="3" t="n">
        <v>2</v>
      </c>
      <c r="C10" s="4" t="s">
        <v>35</v>
      </c>
      <c r="D10" s="5" t="s">
        <v>36</v>
      </c>
      <c r="E10" s="6" t="s">
        <v>44</v>
      </c>
      <c r="F10" s="7" t="s">
        <v>45</v>
      </c>
      <c r="G10" s="7" t="s">
        <v>46</v>
      </c>
      <c r="H10" s="8" t="s">
        <v>15</v>
      </c>
      <c r="I10" s="9" t="s">
        <v>16</v>
      </c>
      <c r="J10" s="7" t="s">
        <v>17</v>
      </c>
    </row>
    <row r="11" customFormat="false" ht="35.05" hidden="false" customHeight="false" outlineLevel="0" collapsed="false">
      <c r="A11" s="2" t="n">
        <v>10</v>
      </c>
      <c r="B11" s="3" t="n">
        <v>2</v>
      </c>
      <c r="C11" s="4" t="s">
        <v>35</v>
      </c>
      <c r="D11" s="5" t="s">
        <v>36</v>
      </c>
      <c r="E11" s="6" t="s">
        <v>47</v>
      </c>
      <c r="F11" s="7" t="s">
        <v>48</v>
      </c>
      <c r="G11" s="7" t="s">
        <v>49</v>
      </c>
      <c r="H11" s="8" t="s">
        <v>15</v>
      </c>
      <c r="I11" s="9" t="s">
        <v>16</v>
      </c>
      <c r="J11" s="7" t="s">
        <v>17</v>
      </c>
    </row>
    <row r="12" customFormat="false" ht="35.05" hidden="false" customHeight="false" outlineLevel="0" collapsed="false">
      <c r="A12" s="2" t="n">
        <v>11</v>
      </c>
      <c r="B12" s="3" t="n">
        <v>2</v>
      </c>
      <c r="C12" s="4" t="s">
        <v>35</v>
      </c>
      <c r="D12" s="5" t="s">
        <v>36</v>
      </c>
      <c r="E12" s="6" t="s">
        <v>50</v>
      </c>
      <c r="F12" s="7" t="s">
        <v>51</v>
      </c>
      <c r="G12" s="7" t="s">
        <v>52</v>
      </c>
      <c r="H12" s="8" t="s">
        <v>15</v>
      </c>
      <c r="I12" s="9" t="s">
        <v>16</v>
      </c>
      <c r="J12" s="7" t="s">
        <v>47</v>
      </c>
    </row>
    <row r="13" customFormat="false" ht="23.85" hidden="false" customHeight="false" outlineLevel="0" collapsed="false">
      <c r="A13" s="2" t="n">
        <v>12</v>
      </c>
      <c r="B13" s="3" t="n">
        <v>2</v>
      </c>
      <c r="C13" s="4" t="s">
        <v>35</v>
      </c>
      <c r="D13" s="5" t="s">
        <v>36</v>
      </c>
      <c r="E13" s="6" t="s">
        <v>53</v>
      </c>
      <c r="F13" s="7" t="s">
        <v>54</v>
      </c>
      <c r="G13" s="7" t="s">
        <v>55</v>
      </c>
      <c r="H13" s="8" t="s">
        <v>15</v>
      </c>
      <c r="I13" s="9" t="s">
        <v>16</v>
      </c>
      <c r="J13" s="7" t="s">
        <v>47</v>
      </c>
    </row>
    <row r="14" customFormat="false" ht="23.85" hidden="false" customHeight="false" outlineLevel="0" collapsed="false">
      <c r="A14" s="2" t="n">
        <v>13</v>
      </c>
      <c r="B14" s="3" t="n">
        <v>2</v>
      </c>
      <c r="C14" s="4" t="s">
        <v>35</v>
      </c>
      <c r="D14" s="5" t="s">
        <v>36</v>
      </c>
      <c r="E14" s="6" t="s">
        <v>56</v>
      </c>
      <c r="F14" s="7" t="s">
        <v>57</v>
      </c>
      <c r="G14" s="7" t="s">
        <v>58</v>
      </c>
      <c r="H14" s="8" t="s">
        <v>15</v>
      </c>
      <c r="I14" s="9" t="s">
        <v>16</v>
      </c>
      <c r="J14" s="7" t="s">
        <v>47</v>
      </c>
    </row>
    <row r="15" customFormat="false" ht="35.05" hidden="false" customHeight="false" outlineLevel="0" collapsed="false">
      <c r="A15" s="2" t="n">
        <v>14</v>
      </c>
      <c r="B15" s="3" t="n">
        <v>2</v>
      </c>
      <c r="C15" s="4" t="s">
        <v>35</v>
      </c>
      <c r="D15" s="5" t="s">
        <v>36</v>
      </c>
      <c r="E15" s="6" t="s">
        <v>59</v>
      </c>
      <c r="F15" s="7" t="s">
        <v>60</v>
      </c>
      <c r="G15" s="7" t="s">
        <v>61</v>
      </c>
      <c r="H15" s="10" t="s">
        <v>24</v>
      </c>
      <c r="I15" s="9" t="s">
        <v>16</v>
      </c>
      <c r="J15" s="7" t="s">
        <v>47</v>
      </c>
    </row>
    <row r="16" customFormat="false" ht="35.05" hidden="false" customHeight="false" outlineLevel="0" collapsed="false">
      <c r="A16" s="2" t="n">
        <v>15</v>
      </c>
      <c r="B16" s="3" t="n">
        <v>2</v>
      </c>
      <c r="C16" s="4" t="s">
        <v>35</v>
      </c>
      <c r="D16" s="5" t="s">
        <v>36</v>
      </c>
      <c r="E16" s="6" t="s">
        <v>62</v>
      </c>
      <c r="F16" s="7" t="s">
        <v>63</v>
      </c>
      <c r="G16" s="7" t="s">
        <v>64</v>
      </c>
      <c r="H16" s="10" t="s">
        <v>24</v>
      </c>
      <c r="I16" s="9" t="s">
        <v>16</v>
      </c>
      <c r="J16" s="7" t="s">
        <v>47</v>
      </c>
    </row>
    <row r="17" customFormat="false" ht="23.85" hidden="false" customHeight="false" outlineLevel="0" collapsed="false">
      <c r="A17" s="2" t="n">
        <v>16</v>
      </c>
      <c r="B17" s="3" t="n">
        <v>2</v>
      </c>
      <c r="C17" s="4" t="s">
        <v>35</v>
      </c>
      <c r="D17" s="5" t="s">
        <v>36</v>
      </c>
      <c r="E17" s="6" t="s">
        <v>65</v>
      </c>
      <c r="F17" s="7" t="s">
        <v>66</v>
      </c>
      <c r="G17" s="7" t="s">
        <v>67</v>
      </c>
      <c r="H17" s="10" t="s">
        <v>24</v>
      </c>
      <c r="I17" s="9" t="s">
        <v>16</v>
      </c>
      <c r="J17" s="7" t="s">
        <v>37</v>
      </c>
    </row>
    <row r="18" customFormat="false" ht="35.05" hidden="false" customHeight="false" outlineLevel="0" collapsed="false">
      <c r="A18" s="2" t="n">
        <v>17</v>
      </c>
      <c r="B18" s="11" t="n">
        <v>3</v>
      </c>
      <c r="C18" s="12" t="s">
        <v>68</v>
      </c>
      <c r="D18" s="5" t="s">
        <v>69</v>
      </c>
      <c r="E18" s="6" t="s">
        <v>70</v>
      </c>
      <c r="F18" s="7" t="s">
        <v>71</v>
      </c>
      <c r="G18" s="7" t="s">
        <v>72</v>
      </c>
      <c r="H18" s="8" t="s">
        <v>15</v>
      </c>
      <c r="I18" s="9" t="s">
        <v>16</v>
      </c>
      <c r="J18" s="7" t="s">
        <v>17</v>
      </c>
    </row>
    <row r="19" customFormat="false" ht="23.85" hidden="false" customHeight="false" outlineLevel="0" collapsed="false">
      <c r="A19" s="2" t="n">
        <v>18</v>
      </c>
      <c r="B19" s="11" t="n">
        <v>3</v>
      </c>
      <c r="C19" s="12" t="s">
        <v>68</v>
      </c>
      <c r="D19" s="5" t="s">
        <v>69</v>
      </c>
      <c r="E19" s="6" t="s">
        <v>73</v>
      </c>
      <c r="F19" s="7" t="s">
        <v>74</v>
      </c>
      <c r="G19" s="7" t="s">
        <v>75</v>
      </c>
      <c r="H19" s="8" t="s">
        <v>15</v>
      </c>
      <c r="I19" s="9" t="s">
        <v>16</v>
      </c>
      <c r="J19" s="7" t="s">
        <v>76</v>
      </c>
    </row>
    <row r="20" customFormat="false" ht="35.05" hidden="false" customHeight="false" outlineLevel="0" collapsed="false">
      <c r="A20" s="2" t="n">
        <v>19</v>
      </c>
      <c r="B20" s="11" t="n">
        <v>3</v>
      </c>
      <c r="C20" s="12" t="s">
        <v>68</v>
      </c>
      <c r="D20" s="5" t="s">
        <v>69</v>
      </c>
      <c r="E20" s="6" t="s">
        <v>77</v>
      </c>
      <c r="F20" s="7" t="s">
        <v>78</v>
      </c>
      <c r="G20" s="7" t="s">
        <v>79</v>
      </c>
      <c r="H20" s="8" t="s">
        <v>15</v>
      </c>
      <c r="I20" s="9" t="s">
        <v>16</v>
      </c>
      <c r="J20" s="7" t="s">
        <v>17</v>
      </c>
    </row>
    <row r="21" customFormat="false" ht="35.05" hidden="false" customHeight="false" outlineLevel="0" collapsed="false">
      <c r="A21" s="2" t="n">
        <v>20</v>
      </c>
      <c r="B21" s="11" t="n">
        <v>3</v>
      </c>
      <c r="C21" s="12" t="s">
        <v>68</v>
      </c>
      <c r="D21" s="5" t="s">
        <v>69</v>
      </c>
      <c r="E21" s="6" t="s">
        <v>80</v>
      </c>
      <c r="F21" s="7" t="s">
        <v>81</v>
      </c>
      <c r="G21" s="7" t="s">
        <v>82</v>
      </c>
      <c r="H21" s="8" t="s">
        <v>15</v>
      </c>
      <c r="I21" s="9" t="s">
        <v>16</v>
      </c>
      <c r="J21" s="7" t="s">
        <v>17</v>
      </c>
    </row>
    <row r="22" customFormat="false" ht="35.05" hidden="false" customHeight="false" outlineLevel="0" collapsed="false">
      <c r="A22" s="2" t="n">
        <v>21</v>
      </c>
      <c r="B22" s="11" t="n">
        <v>3</v>
      </c>
      <c r="C22" s="12" t="s">
        <v>68</v>
      </c>
      <c r="D22" s="5" t="s">
        <v>69</v>
      </c>
      <c r="E22" s="6" t="s">
        <v>83</v>
      </c>
      <c r="F22" s="7" t="s">
        <v>84</v>
      </c>
      <c r="G22" s="7" t="s">
        <v>85</v>
      </c>
      <c r="H22" s="10" t="s">
        <v>24</v>
      </c>
      <c r="I22" s="9" t="s">
        <v>16</v>
      </c>
      <c r="J22" s="7" t="s">
        <v>17</v>
      </c>
    </row>
    <row r="23" customFormat="false" ht="23.85" hidden="false" customHeight="false" outlineLevel="0" collapsed="false">
      <c r="A23" s="2" t="n">
        <v>22</v>
      </c>
      <c r="B23" s="11" t="n">
        <v>3</v>
      </c>
      <c r="C23" s="12" t="s">
        <v>68</v>
      </c>
      <c r="D23" s="5" t="s">
        <v>69</v>
      </c>
      <c r="E23" s="6" t="s">
        <v>86</v>
      </c>
      <c r="F23" s="7" t="s">
        <v>87</v>
      </c>
      <c r="G23" s="7" t="s">
        <v>88</v>
      </c>
      <c r="H23" s="8" t="s">
        <v>15</v>
      </c>
      <c r="I23" s="9" t="s">
        <v>16</v>
      </c>
      <c r="J23" s="7" t="s">
        <v>17</v>
      </c>
    </row>
    <row r="24" customFormat="false" ht="23.85" hidden="false" customHeight="false" outlineLevel="0" collapsed="false">
      <c r="A24" s="2" t="n">
        <v>23</v>
      </c>
      <c r="B24" s="11" t="n">
        <v>3</v>
      </c>
      <c r="C24" s="12" t="s">
        <v>68</v>
      </c>
      <c r="D24" s="5" t="s">
        <v>69</v>
      </c>
      <c r="E24" s="6" t="s">
        <v>89</v>
      </c>
      <c r="F24" s="7" t="s">
        <v>90</v>
      </c>
      <c r="G24" s="7" t="s">
        <v>91</v>
      </c>
      <c r="H24" s="8" t="s">
        <v>15</v>
      </c>
      <c r="I24" s="9" t="s">
        <v>16</v>
      </c>
      <c r="J24" s="7" t="s">
        <v>17</v>
      </c>
    </row>
    <row r="25" customFormat="false" ht="23.85" hidden="false" customHeight="false" outlineLevel="0" collapsed="false">
      <c r="A25" s="2" t="n">
        <v>24</v>
      </c>
      <c r="B25" s="11" t="n">
        <v>3</v>
      </c>
      <c r="C25" s="12" t="s">
        <v>68</v>
      </c>
      <c r="D25" s="5" t="s">
        <v>69</v>
      </c>
      <c r="E25" s="6" t="s">
        <v>92</v>
      </c>
      <c r="F25" s="7" t="s">
        <v>93</v>
      </c>
      <c r="G25" s="7" t="s">
        <v>94</v>
      </c>
      <c r="H25" s="8" t="s">
        <v>15</v>
      </c>
      <c r="I25" s="9" t="s">
        <v>16</v>
      </c>
      <c r="J25" s="7" t="s">
        <v>17</v>
      </c>
    </row>
    <row r="26" customFormat="false" ht="35.05" hidden="false" customHeight="false" outlineLevel="0" collapsed="false">
      <c r="A26" s="2" t="n">
        <v>25</v>
      </c>
      <c r="B26" s="11" t="n">
        <v>3</v>
      </c>
      <c r="C26" s="12" t="s">
        <v>68</v>
      </c>
      <c r="D26" s="5" t="s">
        <v>69</v>
      </c>
      <c r="E26" s="6" t="s">
        <v>95</v>
      </c>
      <c r="F26" s="7" t="s">
        <v>96</v>
      </c>
      <c r="G26" s="7" t="s">
        <v>97</v>
      </c>
      <c r="H26" s="8" t="s">
        <v>15</v>
      </c>
      <c r="I26" s="9" t="s">
        <v>16</v>
      </c>
      <c r="J26" s="7" t="s">
        <v>17</v>
      </c>
    </row>
    <row r="27" customFormat="false" ht="35.05" hidden="false" customHeight="false" outlineLevel="0" collapsed="false">
      <c r="A27" s="2" t="n">
        <v>26</v>
      </c>
      <c r="B27" s="11" t="n">
        <v>3</v>
      </c>
      <c r="C27" s="12" t="s">
        <v>68</v>
      </c>
      <c r="D27" s="5" t="s">
        <v>69</v>
      </c>
      <c r="E27" s="6" t="s">
        <v>98</v>
      </c>
      <c r="F27" s="7" t="s">
        <v>99</v>
      </c>
      <c r="G27" s="7" t="s">
        <v>100</v>
      </c>
      <c r="H27" s="10" t="s">
        <v>24</v>
      </c>
      <c r="I27" s="9" t="s">
        <v>16</v>
      </c>
      <c r="J27" s="7" t="s">
        <v>17</v>
      </c>
    </row>
    <row r="28" customFormat="false" ht="35.05" hidden="false" customHeight="false" outlineLevel="0" collapsed="false">
      <c r="A28" s="2" t="n">
        <v>27</v>
      </c>
      <c r="B28" s="11" t="n">
        <v>3</v>
      </c>
      <c r="C28" s="12" t="s">
        <v>68</v>
      </c>
      <c r="D28" s="5" t="s">
        <v>69</v>
      </c>
      <c r="E28" s="6" t="s">
        <v>101</v>
      </c>
      <c r="F28" s="7" t="s">
        <v>102</v>
      </c>
      <c r="G28" s="7" t="s">
        <v>103</v>
      </c>
      <c r="H28" s="10" t="s">
        <v>24</v>
      </c>
      <c r="I28" s="9" t="s">
        <v>16</v>
      </c>
      <c r="J28" s="7" t="s">
        <v>98</v>
      </c>
    </row>
    <row r="29" customFormat="false" ht="23.85" hidden="false" customHeight="false" outlineLevel="0" collapsed="false">
      <c r="A29" s="2" t="n">
        <v>28</v>
      </c>
      <c r="B29" s="11" t="n">
        <v>3</v>
      </c>
      <c r="C29" s="12" t="s">
        <v>68</v>
      </c>
      <c r="D29" s="5" t="s">
        <v>69</v>
      </c>
      <c r="E29" s="6" t="s">
        <v>104</v>
      </c>
      <c r="F29" s="7" t="s">
        <v>105</v>
      </c>
      <c r="G29" s="7" t="s">
        <v>106</v>
      </c>
      <c r="H29" s="13" t="s">
        <v>107</v>
      </c>
      <c r="I29" s="2" t="s">
        <v>108</v>
      </c>
      <c r="J29" s="7" t="s">
        <v>17</v>
      </c>
    </row>
    <row r="30" customFormat="false" ht="35.05" hidden="false" customHeight="false" outlineLevel="0" collapsed="false">
      <c r="A30" s="2" t="n">
        <v>29</v>
      </c>
      <c r="B30" s="11" t="n">
        <v>4</v>
      </c>
      <c r="C30" s="12" t="s">
        <v>109</v>
      </c>
      <c r="D30" s="5" t="s">
        <v>110</v>
      </c>
      <c r="E30" s="6" t="s">
        <v>111</v>
      </c>
      <c r="F30" s="7" t="s">
        <v>112</v>
      </c>
      <c r="G30" s="7" t="s">
        <v>113</v>
      </c>
      <c r="H30" s="8" t="s">
        <v>15</v>
      </c>
      <c r="I30" s="9" t="s">
        <v>16</v>
      </c>
      <c r="J30" s="7" t="s">
        <v>17</v>
      </c>
    </row>
    <row r="31" customFormat="false" ht="35.05" hidden="false" customHeight="false" outlineLevel="0" collapsed="false">
      <c r="A31" s="2" t="n">
        <v>30</v>
      </c>
      <c r="B31" s="11" t="n">
        <v>4</v>
      </c>
      <c r="C31" s="12" t="s">
        <v>109</v>
      </c>
      <c r="D31" s="5" t="s">
        <v>110</v>
      </c>
      <c r="E31" s="6" t="s">
        <v>114</v>
      </c>
      <c r="F31" s="7" t="s">
        <v>115</v>
      </c>
      <c r="G31" s="7" t="s">
        <v>116</v>
      </c>
      <c r="H31" s="8" t="s">
        <v>15</v>
      </c>
      <c r="I31" s="9" t="s">
        <v>16</v>
      </c>
      <c r="J31" s="7" t="s">
        <v>111</v>
      </c>
    </row>
    <row r="32" customFormat="false" ht="35.05" hidden="false" customHeight="false" outlineLevel="0" collapsed="false">
      <c r="A32" s="2" t="n">
        <v>31</v>
      </c>
      <c r="B32" s="11" t="n">
        <v>4</v>
      </c>
      <c r="C32" s="12" t="s">
        <v>109</v>
      </c>
      <c r="D32" s="5" t="s">
        <v>110</v>
      </c>
      <c r="E32" s="6" t="s">
        <v>117</v>
      </c>
      <c r="F32" s="7" t="s">
        <v>118</v>
      </c>
      <c r="G32" s="7" t="s">
        <v>119</v>
      </c>
      <c r="H32" s="8" t="s">
        <v>15</v>
      </c>
      <c r="I32" s="9" t="s">
        <v>16</v>
      </c>
      <c r="J32" s="7" t="s">
        <v>17</v>
      </c>
    </row>
    <row r="33" customFormat="false" ht="35.05" hidden="false" customHeight="false" outlineLevel="0" collapsed="false">
      <c r="A33" s="2" t="n">
        <v>32</v>
      </c>
      <c r="B33" s="11" t="n">
        <v>4</v>
      </c>
      <c r="C33" s="12" t="s">
        <v>109</v>
      </c>
      <c r="D33" s="5" t="s">
        <v>110</v>
      </c>
      <c r="E33" s="6" t="s">
        <v>120</v>
      </c>
      <c r="F33" s="7" t="s">
        <v>121</v>
      </c>
      <c r="G33" s="7" t="s">
        <v>122</v>
      </c>
      <c r="H33" s="8" t="s">
        <v>15</v>
      </c>
      <c r="I33" s="9" t="s">
        <v>16</v>
      </c>
      <c r="J33" s="7" t="s">
        <v>17</v>
      </c>
    </row>
    <row r="34" customFormat="false" ht="35.05" hidden="false" customHeight="false" outlineLevel="0" collapsed="false">
      <c r="A34" s="2" t="n">
        <v>33</v>
      </c>
      <c r="B34" s="11" t="n">
        <v>4</v>
      </c>
      <c r="C34" s="12" t="s">
        <v>109</v>
      </c>
      <c r="D34" s="5" t="s">
        <v>110</v>
      </c>
      <c r="E34" s="6" t="s">
        <v>123</v>
      </c>
      <c r="F34" s="7" t="s">
        <v>124</v>
      </c>
      <c r="G34" s="7" t="s">
        <v>125</v>
      </c>
      <c r="H34" s="8" t="s">
        <v>15</v>
      </c>
      <c r="I34" s="9" t="s">
        <v>16</v>
      </c>
      <c r="J34" s="7" t="s">
        <v>17</v>
      </c>
    </row>
    <row r="35" customFormat="false" ht="23.85" hidden="false" customHeight="false" outlineLevel="0" collapsed="false">
      <c r="A35" s="2" t="n">
        <v>34</v>
      </c>
      <c r="B35" s="11" t="n">
        <v>4</v>
      </c>
      <c r="C35" s="12" t="s">
        <v>109</v>
      </c>
      <c r="D35" s="5" t="s">
        <v>110</v>
      </c>
      <c r="E35" s="6" t="s">
        <v>126</v>
      </c>
      <c r="F35" s="7" t="s">
        <v>127</v>
      </c>
      <c r="G35" s="7" t="s">
        <v>128</v>
      </c>
      <c r="H35" s="8" t="s">
        <v>15</v>
      </c>
      <c r="I35" s="9" t="s">
        <v>16</v>
      </c>
      <c r="J35" s="7" t="s">
        <v>17</v>
      </c>
    </row>
    <row r="36" customFormat="false" ht="35.05" hidden="false" customHeight="false" outlineLevel="0" collapsed="false">
      <c r="A36" s="2" t="n">
        <v>35</v>
      </c>
      <c r="B36" s="11" t="n">
        <v>4</v>
      </c>
      <c r="C36" s="12" t="s">
        <v>109</v>
      </c>
      <c r="D36" s="5" t="s">
        <v>110</v>
      </c>
      <c r="E36" s="6" t="s">
        <v>129</v>
      </c>
      <c r="F36" s="7" t="s">
        <v>130</v>
      </c>
      <c r="G36" s="7" t="s">
        <v>131</v>
      </c>
      <c r="H36" s="8" t="s">
        <v>15</v>
      </c>
      <c r="I36" s="9" t="s">
        <v>16</v>
      </c>
      <c r="J36" s="7" t="s">
        <v>17</v>
      </c>
    </row>
    <row r="37" customFormat="false" ht="35.05" hidden="false" customHeight="false" outlineLevel="0" collapsed="false">
      <c r="A37" s="2" t="n">
        <v>36</v>
      </c>
      <c r="B37" s="11" t="n">
        <v>4</v>
      </c>
      <c r="C37" s="12" t="s">
        <v>109</v>
      </c>
      <c r="D37" s="5" t="s">
        <v>110</v>
      </c>
      <c r="E37" s="6" t="s">
        <v>132</v>
      </c>
      <c r="F37" s="7" t="s">
        <v>133</v>
      </c>
      <c r="G37" s="7" t="s">
        <v>134</v>
      </c>
      <c r="H37" s="8" t="s">
        <v>15</v>
      </c>
      <c r="I37" s="9" t="s">
        <v>16</v>
      </c>
      <c r="J37" s="7" t="s">
        <v>17</v>
      </c>
    </row>
    <row r="38" customFormat="false" ht="35.05" hidden="false" customHeight="false" outlineLevel="0" collapsed="false">
      <c r="A38" s="2" t="n">
        <v>37</v>
      </c>
      <c r="B38" s="11" t="n">
        <v>4</v>
      </c>
      <c r="C38" s="12" t="s">
        <v>109</v>
      </c>
      <c r="D38" s="5" t="s">
        <v>110</v>
      </c>
      <c r="E38" s="6" t="s">
        <v>135</v>
      </c>
      <c r="F38" s="7" t="s">
        <v>136</v>
      </c>
      <c r="G38" s="7" t="s">
        <v>137</v>
      </c>
      <c r="H38" s="10" t="s">
        <v>24</v>
      </c>
      <c r="I38" s="9" t="s">
        <v>16</v>
      </c>
      <c r="J38" s="7" t="s">
        <v>17</v>
      </c>
    </row>
    <row r="39" customFormat="false" ht="35.05" hidden="false" customHeight="false" outlineLevel="0" collapsed="false">
      <c r="A39" s="2" t="n">
        <v>38</v>
      </c>
      <c r="B39" s="11" t="n">
        <v>4</v>
      </c>
      <c r="C39" s="12" t="s">
        <v>109</v>
      </c>
      <c r="D39" s="5" t="s">
        <v>110</v>
      </c>
      <c r="E39" s="6" t="s">
        <v>138</v>
      </c>
      <c r="F39" s="7" t="s">
        <v>139</v>
      </c>
      <c r="G39" s="7" t="s">
        <v>140</v>
      </c>
      <c r="H39" s="8" t="s">
        <v>15</v>
      </c>
      <c r="I39" s="9" t="s">
        <v>16</v>
      </c>
      <c r="J39" s="7" t="s">
        <v>17</v>
      </c>
    </row>
    <row r="40" customFormat="false" ht="23.85" hidden="false" customHeight="false" outlineLevel="0" collapsed="false">
      <c r="A40" s="2" t="n">
        <v>39</v>
      </c>
      <c r="B40" s="11" t="n">
        <v>4</v>
      </c>
      <c r="C40" s="12" t="s">
        <v>109</v>
      </c>
      <c r="D40" s="5" t="s">
        <v>110</v>
      </c>
      <c r="E40" s="6" t="s">
        <v>141</v>
      </c>
      <c r="F40" s="7" t="s">
        <v>142</v>
      </c>
      <c r="G40" s="7" t="s">
        <v>143</v>
      </c>
      <c r="H40" s="8" t="s">
        <v>15</v>
      </c>
      <c r="I40" s="9" t="s">
        <v>16</v>
      </c>
      <c r="J40" s="7" t="s">
        <v>138</v>
      </c>
    </row>
    <row r="41" customFormat="false" ht="35.05" hidden="false" customHeight="false" outlineLevel="0" collapsed="false">
      <c r="A41" s="2" t="n">
        <v>40</v>
      </c>
      <c r="B41" s="11" t="n">
        <v>4</v>
      </c>
      <c r="C41" s="12" t="s">
        <v>109</v>
      </c>
      <c r="D41" s="5" t="s">
        <v>110</v>
      </c>
      <c r="E41" s="6" t="s">
        <v>144</v>
      </c>
      <c r="F41" s="7" t="s">
        <v>145</v>
      </c>
      <c r="G41" s="7" t="s">
        <v>146</v>
      </c>
      <c r="H41" s="8" t="s">
        <v>15</v>
      </c>
      <c r="I41" s="9" t="s">
        <v>16</v>
      </c>
      <c r="J41" s="7" t="s">
        <v>17</v>
      </c>
    </row>
    <row r="42" customFormat="false" ht="35.05" hidden="false" customHeight="false" outlineLevel="0" collapsed="false">
      <c r="A42" s="2" t="n">
        <v>41</v>
      </c>
      <c r="B42" s="11" t="n">
        <v>4</v>
      </c>
      <c r="C42" s="12" t="s">
        <v>109</v>
      </c>
      <c r="D42" s="5" t="s">
        <v>110</v>
      </c>
      <c r="E42" s="6" t="s">
        <v>147</v>
      </c>
      <c r="F42" s="7" t="s">
        <v>148</v>
      </c>
      <c r="G42" s="7" t="s">
        <v>149</v>
      </c>
      <c r="H42" s="8" t="s">
        <v>15</v>
      </c>
      <c r="I42" s="9" t="s">
        <v>16</v>
      </c>
      <c r="J42" s="7" t="s">
        <v>17</v>
      </c>
    </row>
    <row r="43" customFormat="false" ht="35.05" hidden="false" customHeight="false" outlineLevel="0" collapsed="false">
      <c r="A43" s="2" t="n">
        <v>42</v>
      </c>
      <c r="B43" s="14" t="n">
        <v>5</v>
      </c>
      <c r="C43" s="15" t="s">
        <v>150</v>
      </c>
      <c r="D43" s="5" t="s">
        <v>151</v>
      </c>
      <c r="E43" s="6" t="s">
        <v>152</v>
      </c>
      <c r="F43" s="7" t="s">
        <v>153</v>
      </c>
      <c r="G43" s="7" t="s">
        <v>154</v>
      </c>
      <c r="H43" s="8" t="s">
        <v>15</v>
      </c>
      <c r="I43" s="9" t="s">
        <v>16</v>
      </c>
      <c r="J43" s="7" t="s">
        <v>144</v>
      </c>
    </row>
    <row r="44" customFormat="false" ht="35.05" hidden="false" customHeight="false" outlineLevel="0" collapsed="false">
      <c r="A44" s="2" t="n">
        <v>43</v>
      </c>
      <c r="B44" s="14" t="n">
        <v>5</v>
      </c>
      <c r="C44" s="15" t="s">
        <v>150</v>
      </c>
      <c r="D44" s="5" t="s">
        <v>151</v>
      </c>
      <c r="E44" s="6" t="s">
        <v>155</v>
      </c>
      <c r="F44" s="7" t="s">
        <v>156</v>
      </c>
      <c r="G44" s="7" t="s">
        <v>157</v>
      </c>
      <c r="H44" s="8" t="s">
        <v>15</v>
      </c>
      <c r="I44" s="9" t="s">
        <v>16</v>
      </c>
      <c r="J44" s="7" t="s">
        <v>17</v>
      </c>
    </row>
    <row r="45" customFormat="false" ht="35.05" hidden="false" customHeight="false" outlineLevel="0" collapsed="false">
      <c r="A45" s="2" t="n">
        <v>44</v>
      </c>
      <c r="B45" s="14" t="n">
        <v>5</v>
      </c>
      <c r="C45" s="15" t="s">
        <v>150</v>
      </c>
      <c r="D45" s="5" t="s">
        <v>151</v>
      </c>
      <c r="E45" s="6" t="s">
        <v>158</v>
      </c>
      <c r="F45" s="7" t="s">
        <v>159</v>
      </c>
      <c r="G45" s="7" t="s">
        <v>160</v>
      </c>
      <c r="H45" s="8" t="s">
        <v>15</v>
      </c>
      <c r="I45" s="9" t="s">
        <v>16</v>
      </c>
      <c r="J45" s="7" t="s">
        <v>17</v>
      </c>
    </row>
    <row r="46" customFormat="false" ht="35.05" hidden="false" customHeight="false" outlineLevel="0" collapsed="false">
      <c r="A46" s="2" t="n">
        <v>45</v>
      </c>
      <c r="B46" s="14" t="n">
        <v>5</v>
      </c>
      <c r="C46" s="15" t="s">
        <v>150</v>
      </c>
      <c r="D46" s="5" t="s">
        <v>151</v>
      </c>
      <c r="E46" s="6" t="s">
        <v>161</v>
      </c>
      <c r="F46" s="7" t="s">
        <v>162</v>
      </c>
      <c r="G46" s="7" t="s">
        <v>163</v>
      </c>
      <c r="H46" s="8" t="s">
        <v>15</v>
      </c>
      <c r="I46" s="9" t="s">
        <v>16</v>
      </c>
      <c r="J46" s="7" t="s">
        <v>164</v>
      </c>
    </row>
    <row r="47" customFormat="false" ht="23.85" hidden="false" customHeight="false" outlineLevel="0" collapsed="false">
      <c r="A47" s="2" t="n">
        <v>46</v>
      </c>
      <c r="B47" s="14" t="n">
        <v>5</v>
      </c>
      <c r="C47" s="15" t="s">
        <v>150</v>
      </c>
      <c r="D47" s="5" t="s">
        <v>151</v>
      </c>
      <c r="E47" s="6" t="s">
        <v>165</v>
      </c>
      <c r="F47" s="7" t="s">
        <v>166</v>
      </c>
      <c r="G47" s="7" t="s">
        <v>167</v>
      </c>
      <c r="H47" s="8" t="s">
        <v>15</v>
      </c>
      <c r="I47" s="9" t="s">
        <v>16</v>
      </c>
      <c r="J47" s="7" t="s">
        <v>168</v>
      </c>
    </row>
    <row r="48" customFormat="false" ht="35.05" hidden="false" customHeight="false" outlineLevel="0" collapsed="false">
      <c r="A48" s="2" t="n">
        <v>47</v>
      </c>
      <c r="B48" s="14" t="n">
        <v>5</v>
      </c>
      <c r="C48" s="15" t="s">
        <v>150</v>
      </c>
      <c r="D48" s="5" t="s">
        <v>151</v>
      </c>
      <c r="E48" s="6" t="s">
        <v>169</v>
      </c>
      <c r="F48" s="7" t="s">
        <v>170</v>
      </c>
      <c r="G48" s="7" t="s">
        <v>171</v>
      </c>
      <c r="H48" s="8" t="s">
        <v>15</v>
      </c>
      <c r="I48" s="9" t="s">
        <v>16</v>
      </c>
      <c r="J48" s="7" t="s">
        <v>17</v>
      </c>
    </row>
    <row r="49" customFormat="false" ht="35.05" hidden="false" customHeight="false" outlineLevel="0" collapsed="false">
      <c r="A49" s="2" t="n">
        <v>48</v>
      </c>
      <c r="B49" s="14" t="n">
        <v>5</v>
      </c>
      <c r="C49" s="15" t="s">
        <v>150</v>
      </c>
      <c r="D49" s="5" t="s">
        <v>151</v>
      </c>
      <c r="E49" s="6" t="s">
        <v>172</v>
      </c>
      <c r="F49" s="7" t="s">
        <v>173</v>
      </c>
      <c r="G49" s="7" t="s">
        <v>174</v>
      </c>
      <c r="H49" s="8" t="s">
        <v>15</v>
      </c>
      <c r="I49" s="9" t="s">
        <v>16</v>
      </c>
      <c r="J49" s="7" t="s">
        <v>17</v>
      </c>
    </row>
    <row r="50" customFormat="false" ht="35.05" hidden="false" customHeight="false" outlineLevel="0" collapsed="false">
      <c r="A50" s="2" t="n">
        <v>49</v>
      </c>
      <c r="B50" s="14" t="n">
        <v>5</v>
      </c>
      <c r="C50" s="15" t="s">
        <v>150</v>
      </c>
      <c r="D50" s="5" t="s">
        <v>151</v>
      </c>
      <c r="E50" s="6" t="s">
        <v>175</v>
      </c>
      <c r="F50" s="7" t="s">
        <v>176</v>
      </c>
      <c r="G50" s="7" t="s">
        <v>177</v>
      </c>
      <c r="H50" s="10" t="s">
        <v>24</v>
      </c>
      <c r="I50" s="9" t="s">
        <v>16</v>
      </c>
      <c r="J50" s="7" t="s">
        <v>178</v>
      </c>
    </row>
    <row r="51" customFormat="false" ht="35.05" hidden="false" customHeight="false" outlineLevel="0" collapsed="false">
      <c r="A51" s="2" t="n">
        <v>50</v>
      </c>
      <c r="B51" s="14" t="n">
        <v>6</v>
      </c>
      <c r="C51" s="15" t="s">
        <v>179</v>
      </c>
      <c r="D51" s="5" t="s">
        <v>180</v>
      </c>
      <c r="E51" s="6" t="s">
        <v>181</v>
      </c>
      <c r="F51" s="7" t="s">
        <v>182</v>
      </c>
      <c r="G51" s="7" t="s">
        <v>183</v>
      </c>
      <c r="H51" s="8" t="s">
        <v>15</v>
      </c>
      <c r="I51" s="9" t="s">
        <v>16</v>
      </c>
      <c r="J51" s="7" t="s">
        <v>17</v>
      </c>
    </row>
    <row r="52" customFormat="false" ht="23.85" hidden="false" customHeight="false" outlineLevel="0" collapsed="false">
      <c r="A52" s="2" t="n">
        <v>51</v>
      </c>
      <c r="B52" s="14" t="n">
        <v>6</v>
      </c>
      <c r="C52" s="15" t="s">
        <v>179</v>
      </c>
      <c r="D52" s="5" t="s">
        <v>180</v>
      </c>
      <c r="E52" s="6" t="s">
        <v>184</v>
      </c>
      <c r="F52" s="7" t="s">
        <v>185</v>
      </c>
      <c r="G52" s="7" t="s">
        <v>186</v>
      </c>
      <c r="H52" s="8" t="s">
        <v>15</v>
      </c>
      <c r="I52" s="9" t="s">
        <v>16</v>
      </c>
      <c r="J52" s="7" t="s">
        <v>17</v>
      </c>
    </row>
    <row r="53" customFormat="false" ht="23.85" hidden="false" customHeight="false" outlineLevel="0" collapsed="false">
      <c r="A53" s="2" t="n">
        <v>52</v>
      </c>
      <c r="B53" s="14" t="n">
        <v>6</v>
      </c>
      <c r="C53" s="15" t="s">
        <v>179</v>
      </c>
      <c r="D53" s="5" t="s">
        <v>180</v>
      </c>
      <c r="E53" s="6" t="s">
        <v>187</v>
      </c>
      <c r="F53" s="7" t="s">
        <v>188</v>
      </c>
      <c r="G53" s="7" t="s">
        <v>189</v>
      </c>
      <c r="H53" s="8" t="s">
        <v>15</v>
      </c>
      <c r="I53" s="9" t="s">
        <v>16</v>
      </c>
      <c r="J53" s="7" t="s">
        <v>17</v>
      </c>
    </row>
    <row r="54" customFormat="false" ht="23.85" hidden="false" customHeight="false" outlineLevel="0" collapsed="false">
      <c r="A54" s="2" t="n">
        <v>53</v>
      </c>
      <c r="B54" s="14" t="n">
        <v>6</v>
      </c>
      <c r="C54" s="15" t="s">
        <v>179</v>
      </c>
      <c r="D54" s="5" t="s">
        <v>180</v>
      </c>
      <c r="E54" s="6" t="s">
        <v>190</v>
      </c>
      <c r="F54" s="7" t="s">
        <v>191</v>
      </c>
      <c r="G54" s="7" t="s">
        <v>192</v>
      </c>
      <c r="H54" s="8" t="s">
        <v>15</v>
      </c>
      <c r="I54" s="9" t="s">
        <v>16</v>
      </c>
      <c r="J54" s="7" t="s">
        <v>17</v>
      </c>
    </row>
    <row r="55" customFormat="false" ht="35.05" hidden="false" customHeight="false" outlineLevel="0" collapsed="false">
      <c r="A55" s="2" t="n">
        <v>54</v>
      </c>
      <c r="B55" s="14" t="n">
        <v>6</v>
      </c>
      <c r="C55" s="15" t="s">
        <v>179</v>
      </c>
      <c r="D55" s="5" t="s">
        <v>180</v>
      </c>
      <c r="E55" s="6" t="s">
        <v>193</v>
      </c>
      <c r="F55" s="7" t="s">
        <v>194</v>
      </c>
      <c r="G55" s="7" t="s">
        <v>195</v>
      </c>
      <c r="H55" s="8" t="s">
        <v>15</v>
      </c>
      <c r="I55" s="9" t="s">
        <v>16</v>
      </c>
      <c r="J55" s="7" t="s">
        <v>17</v>
      </c>
    </row>
    <row r="56" customFormat="false" ht="23.85" hidden="false" customHeight="false" outlineLevel="0" collapsed="false">
      <c r="A56" s="2" t="n">
        <v>55</v>
      </c>
      <c r="B56" s="14" t="n">
        <v>6</v>
      </c>
      <c r="C56" s="15" t="s">
        <v>179</v>
      </c>
      <c r="D56" s="5" t="s">
        <v>180</v>
      </c>
      <c r="E56" s="6" t="s">
        <v>196</v>
      </c>
      <c r="F56" s="7" t="s">
        <v>197</v>
      </c>
      <c r="G56" s="7" t="s">
        <v>198</v>
      </c>
      <c r="H56" s="10" t="s">
        <v>24</v>
      </c>
      <c r="I56" s="9" t="s">
        <v>16</v>
      </c>
      <c r="J56" s="7" t="s">
        <v>17</v>
      </c>
    </row>
    <row r="57" customFormat="false" ht="23.85" hidden="false" customHeight="false" outlineLevel="0" collapsed="false">
      <c r="A57" s="2" t="n">
        <v>56</v>
      </c>
      <c r="B57" s="14" t="n">
        <v>6</v>
      </c>
      <c r="C57" s="15" t="s">
        <v>179</v>
      </c>
      <c r="D57" s="5" t="s">
        <v>180</v>
      </c>
      <c r="E57" s="6" t="s">
        <v>199</v>
      </c>
      <c r="F57" s="7" t="s">
        <v>200</v>
      </c>
      <c r="G57" s="7" t="s">
        <v>201</v>
      </c>
      <c r="H57" s="8" t="s">
        <v>15</v>
      </c>
      <c r="I57" s="9" t="s">
        <v>16</v>
      </c>
      <c r="J57" s="7" t="s">
        <v>17</v>
      </c>
    </row>
    <row r="58" customFormat="false" ht="23.85" hidden="false" customHeight="false" outlineLevel="0" collapsed="false">
      <c r="A58" s="2" t="n">
        <v>57</v>
      </c>
      <c r="B58" s="14" t="n">
        <v>6</v>
      </c>
      <c r="C58" s="15" t="s">
        <v>179</v>
      </c>
      <c r="D58" s="5" t="s">
        <v>180</v>
      </c>
      <c r="E58" s="6" t="s">
        <v>202</v>
      </c>
      <c r="F58" s="7" t="s">
        <v>203</v>
      </c>
      <c r="G58" s="7" t="s">
        <v>204</v>
      </c>
      <c r="H58" s="8" t="s">
        <v>15</v>
      </c>
      <c r="I58" s="9" t="s">
        <v>16</v>
      </c>
      <c r="J58" s="7" t="s">
        <v>17</v>
      </c>
    </row>
    <row r="59" customFormat="false" ht="23.85" hidden="false" customHeight="false" outlineLevel="0" collapsed="false">
      <c r="A59" s="2" t="n">
        <v>58</v>
      </c>
      <c r="B59" s="14" t="n">
        <v>6</v>
      </c>
      <c r="C59" s="15" t="s">
        <v>179</v>
      </c>
      <c r="D59" s="5" t="s">
        <v>180</v>
      </c>
      <c r="E59" s="6" t="s">
        <v>205</v>
      </c>
      <c r="F59" s="7" t="s">
        <v>206</v>
      </c>
      <c r="G59" s="7" t="s">
        <v>207</v>
      </c>
      <c r="H59" s="8" t="s">
        <v>15</v>
      </c>
      <c r="I59" s="9" t="s">
        <v>16</v>
      </c>
      <c r="J59" s="7" t="s">
        <v>17</v>
      </c>
    </row>
    <row r="60" customFormat="false" ht="23.85" hidden="false" customHeight="false" outlineLevel="0" collapsed="false">
      <c r="A60" s="2" t="n">
        <v>59</v>
      </c>
      <c r="B60" s="14" t="n">
        <v>6</v>
      </c>
      <c r="C60" s="15" t="s">
        <v>179</v>
      </c>
      <c r="D60" s="5" t="s">
        <v>180</v>
      </c>
      <c r="E60" s="6" t="s">
        <v>208</v>
      </c>
      <c r="F60" s="7" t="s">
        <v>209</v>
      </c>
      <c r="G60" s="7" t="s">
        <v>210</v>
      </c>
      <c r="H60" s="10" t="s">
        <v>24</v>
      </c>
      <c r="I60" s="9" t="s">
        <v>16</v>
      </c>
      <c r="J60" s="7" t="s">
        <v>17</v>
      </c>
    </row>
    <row r="61" customFormat="false" ht="23.85" hidden="false" customHeight="false" outlineLevel="0" collapsed="false">
      <c r="A61" s="2" t="n">
        <v>60</v>
      </c>
      <c r="B61" s="14" t="n">
        <v>6</v>
      </c>
      <c r="C61" s="15" t="s">
        <v>179</v>
      </c>
      <c r="D61" s="5" t="s">
        <v>180</v>
      </c>
      <c r="E61" s="6" t="s">
        <v>211</v>
      </c>
      <c r="F61" s="7" t="s">
        <v>212</v>
      </c>
      <c r="G61" s="7" t="s">
        <v>213</v>
      </c>
      <c r="H61" s="8" t="s">
        <v>15</v>
      </c>
      <c r="I61" s="9" t="s">
        <v>16</v>
      </c>
      <c r="J61" s="7" t="s">
        <v>214</v>
      </c>
    </row>
    <row r="62" customFormat="false" ht="35.05" hidden="false" customHeight="false" outlineLevel="0" collapsed="false">
      <c r="A62" s="2" t="n">
        <v>61</v>
      </c>
      <c r="B62" s="16" t="n">
        <v>7</v>
      </c>
      <c r="C62" s="17" t="s">
        <v>215</v>
      </c>
      <c r="D62" s="5" t="s">
        <v>216</v>
      </c>
      <c r="E62" s="6" t="s">
        <v>217</v>
      </c>
      <c r="F62" s="7" t="s">
        <v>218</v>
      </c>
      <c r="G62" s="7" t="s">
        <v>219</v>
      </c>
      <c r="H62" s="8" t="s">
        <v>15</v>
      </c>
      <c r="I62" s="9" t="s">
        <v>16</v>
      </c>
      <c r="J62" s="7" t="s">
        <v>17</v>
      </c>
    </row>
    <row r="63" customFormat="false" ht="35.05" hidden="false" customHeight="false" outlineLevel="0" collapsed="false">
      <c r="A63" s="2" t="n">
        <v>62</v>
      </c>
      <c r="B63" s="16" t="n">
        <v>7</v>
      </c>
      <c r="C63" s="17" t="s">
        <v>215</v>
      </c>
      <c r="D63" s="5" t="s">
        <v>216</v>
      </c>
      <c r="E63" s="6" t="s">
        <v>220</v>
      </c>
      <c r="F63" s="7" t="s">
        <v>221</v>
      </c>
      <c r="G63" s="7" t="s">
        <v>222</v>
      </c>
      <c r="H63" s="8" t="s">
        <v>15</v>
      </c>
      <c r="I63" s="9" t="s">
        <v>16</v>
      </c>
      <c r="J63" s="7" t="s">
        <v>17</v>
      </c>
    </row>
    <row r="64" customFormat="false" ht="23.85" hidden="false" customHeight="false" outlineLevel="0" collapsed="false">
      <c r="A64" s="2" t="n">
        <v>63</v>
      </c>
      <c r="B64" s="16" t="n">
        <v>7</v>
      </c>
      <c r="C64" s="17" t="s">
        <v>215</v>
      </c>
      <c r="D64" s="5" t="s">
        <v>216</v>
      </c>
      <c r="E64" s="6" t="s">
        <v>223</v>
      </c>
      <c r="F64" s="7" t="s">
        <v>224</v>
      </c>
      <c r="G64" s="7" t="s">
        <v>225</v>
      </c>
      <c r="H64" s="8" t="s">
        <v>15</v>
      </c>
      <c r="I64" s="9" t="s">
        <v>16</v>
      </c>
      <c r="J64" s="7" t="s">
        <v>17</v>
      </c>
    </row>
    <row r="65" customFormat="false" ht="35.05" hidden="false" customHeight="false" outlineLevel="0" collapsed="false">
      <c r="A65" s="2" t="n">
        <v>64</v>
      </c>
      <c r="B65" s="16" t="n">
        <v>7</v>
      </c>
      <c r="C65" s="17" t="s">
        <v>215</v>
      </c>
      <c r="D65" s="5" t="s">
        <v>216</v>
      </c>
      <c r="E65" s="6" t="s">
        <v>226</v>
      </c>
      <c r="F65" s="7" t="s">
        <v>227</v>
      </c>
      <c r="G65" s="7" t="s">
        <v>228</v>
      </c>
      <c r="H65" s="8" t="s">
        <v>15</v>
      </c>
      <c r="I65" s="9" t="s">
        <v>16</v>
      </c>
      <c r="J65" s="7" t="s">
        <v>17</v>
      </c>
    </row>
    <row r="66" customFormat="false" ht="23.85" hidden="false" customHeight="false" outlineLevel="0" collapsed="false">
      <c r="A66" s="2" t="n">
        <v>65</v>
      </c>
      <c r="B66" s="16" t="n">
        <v>7</v>
      </c>
      <c r="C66" s="17" t="s">
        <v>215</v>
      </c>
      <c r="D66" s="5" t="s">
        <v>216</v>
      </c>
      <c r="E66" s="6" t="s">
        <v>229</v>
      </c>
      <c r="F66" s="7" t="s">
        <v>230</v>
      </c>
      <c r="G66" s="7" t="s">
        <v>231</v>
      </c>
      <c r="H66" s="10" t="s">
        <v>24</v>
      </c>
      <c r="I66" s="9" t="s">
        <v>16</v>
      </c>
      <c r="J66" s="7" t="s">
        <v>17</v>
      </c>
    </row>
    <row r="67" customFormat="false" ht="35.05" hidden="false" customHeight="false" outlineLevel="0" collapsed="false">
      <c r="A67" s="2" t="n">
        <v>66</v>
      </c>
      <c r="B67" s="16" t="n">
        <v>7</v>
      </c>
      <c r="C67" s="17" t="s">
        <v>215</v>
      </c>
      <c r="D67" s="5" t="s">
        <v>216</v>
      </c>
      <c r="E67" s="6" t="s">
        <v>232</v>
      </c>
      <c r="F67" s="7" t="s">
        <v>233</v>
      </c>
      <c r="G67" s="7" t="s">
        <v>234</v>
      </c>
      <c r="H67" s="8" t="s">
        <v>15</v>
      </c>
      <c r="I67" s="9" t="s">
        <v>16</v>
      </c>
      <c r="J67" s="7" t="s">
        <v>17</v>
      </c>
    </row>
    <row r="68" customFormat="false" ht="23.85" hidden="false" customHeight="false" outlineLevel="0" collapsed="false">
      <c r="A68" s="2" t="n">
        <v>67</v>
      </c>
      <c r="B68" s="16" t="n">
        <v>7</v>
      </c>
      <c r="C68" s="17" t="s">
        <v>215</v>
      </c>
      <c r="D68" s="5" t="s">
        <v>216</v>
      </c>
      <c r="E68" s="6" t="s">
        <v>235</v>
      </c>
      <c r="F68" s="7" t="s">
        <v>236</v>
      </c>
      <c r="G68" s="7" t="s">
        <v>237</v>
      </c>
      <c r="H68" s="8" t="s">
        <v>15</v>
      </c>
      <c r="I68" s="9" t="s">
        <v>16</v>
      </c>
      <c r="J68" s="7" t="s">
        <v>17</v>
      </c>
    </row>
    <row r="69" customFormat="false" ht="35.05" hidden="false" customHeight="false" outlineLevel="0" collapsed="false">
      <c r="A69" s="2" t="n">
        <v>68</v>
      </c>
      <c r="B69" s="16" t="n">
        <v>7</v>
      </c>
      <c r="C69" s="17" t="s">
        <v>215</v>
      </c>
      <c r="D69" s="5" t="s">
        <v>216</v>
      </c>
      <c r="E69" s="6" t="s">
        <v>238</v>
      </c>
      <c r="F69" s="7" t="s">
        <v>239</v>
      </c>
      <c r="G69" s="7" t="s">
        <v>240</v>
      </c>
      <c r="H69" s="8" t="s">
        <v>15</v>
      </c>
      <c r="I69" s="9" t="s">
        <v>16</v>
      </c>
      <c r="J69" s="7" t="s">
        <v>241</v>
      </c>
    </row>
    <row r="70" customFormat="false" ht="23.85" hidden="false" customHeight="false" outlineLevel="0" collapsed="false">
      <c r="A70" s="2" t="n">
        <v>69</v>
      </c>
      <c r="B70" s="16" t="n">
        <v>8</v>
      </c>
      <c r="C70" s="17" t="s">
        <v>242</v>
      </c>
      <c r="D70" s="5" t="s">
        <v>243</v>
      </c>
      <c r="E70" s="6" t="s">
        <v>244</v>
      </c>
      <c r="F70" s="7" t="s">
        <v>245</v>
      </c>
      <c r="G70" s="7" t="s">
        <v>246</v>
      </c>
      <c r="H70" s="8" t="s">
        <v>15</v>
      </c>
      <c r="I70" s="9" t="s">
        <v>16</v>
      </c>
      <c r="J70" s="7" t="s">
        <v>17</v>
      </c>
    </row>
    <row r="71" customFormat="false" ht="23.85" hidden="false" customHeight="false" outlineLevel="0" collapsed="false">
      <c r="A71" s="2" t="n">
        <v>70</v>
      </c>
      <c r="B71" s="16" t="n">
        <v>8</v>
      </c>
      <c r="C71" s="17" t="s">
        <v>242</v>
      </c>
      <c r="D71" s="5" t="s">
        <v>243</v>
      </c>
      <c r="E71" s="6" t="s">
        <v>247</v>
      </c>
      <c r="F71" s="7" t="s">
        <v>248</v>
      </c>
      <c r="G71" s="7" t="s">
        <v>249</v>
      </c>
      <c r="H71" s="10" t="s">
        <v>24</v>
      </c>
      <c r="I71" s="9" t="s">
        <v>16</v>
      </c>
      <c r="J71" s="7" t="s">
        <v>17</v>
      </c>
    </row>
    <row r="72" customFormat="false" ht="35.05" hidden="false" customHeight="false" outlineLevel="0" collapsed="false">
      <c r="A72" s="2" t="n">
        <v>71</v>
      </c>
      <c r="B72" s="16" t="n">
        <v>8</v>
      </c>
      <c r="C72" s="17" t="s">
        <v>242</v>
      </c>
      <c r="D72" s="5" t="s">
        <v>243</v>
      </c>
      <c r="E72" s="6" t="s">
        <v>250</v>
      </c>
      <c r="F72" s="7" t="s">
        <v>251</v>
      </c>
      <c r="G72" s="7" t="s">
        <v>252</v>
      </c>
      <c r="H72" s="8" t="s">
        <v>15</v>
      </c>
      <c r="I72" s="9" t="s">
        <v>16</v>
      </c>
      <c r="J72" s="7" t="s">
        <v>17</v>
      </c>
    </row>
    <row r="73" customFormat="false" ht="35.05" hidden="false" customHeight="false" outlineLevel="0" collapsed="false">
      <c r="A73" s="2" t="n">
        <v>72</v>
      </c>
      <c r="B73" s="16" t="n">
        <v>8</v>
      </c>
      <c r="C73" s="17" t="s">
        <v>242</v>
      </c>
      <c r="D73" s="5" t="s">
        <v>243</v>
      </c>
      <c r="E73" s="6" t="s">
        <v>253</v>
      </c>
      <c r="F73" s="7" t="s">
        <v>254</v>
      </c>
      <c r="G73" s="7" t="s">
        <v>255</v>
      </c>
      <c r="H73" s="10" t="s">
        <v>24</v>
      </c>
      <c r="I73" s="9" t="s">
        <v>16</v>
      </c>
      <c r="J73" s="7" t="s">
        <v>17</v>
      </c>
    </row>
    <row r="74" customFormat="false" ht="23.85" hidden="false" customHeight="false" outlineLevel="0" collapsed="false">
      <c r="A74" s="2" t="n">
        <v>73</v>
      </c>
      <c r="B74" s="16" t="n">
        <v>8</v>
      </c>
      <c r="C74" s="17" t="s">
        <v>242</v>
      </c>
      <c r="D74" s="5" t="s">
        <v>243</v>
      </c>
      <c r="E74" s="6" t="s">
        <v>256</v>
      </c>
      <c r="F74" s="7" t="s">
        <v>257</v>
      </c>
      <c r="G74" s="7" t="s">
        <v>258</v>
      </c>
      <c r="H74" s="13" t="s">
        <v>107</v>
      </c>
      <c r="I74" s="2" t="s">
        <v>108</v>
      </c>
      <c r="J74" s="7" t="s">
        <v>17</v>
      </c>
    </row>
    <row r="75" customFormat="false" ht="35.05" hidden="false" customHeight="false" outlineLevel="0" collapsed="false">
      <c r="A75" s="2" t="n">
        <v>74</v>
      </c>
      <c r="B75" s="16" t="n">
        <v>8</v>
      </c>
      <c r="C75" s="17" t="s">
        <v>242</v>
      </c>
      <c r="D75" s="5" t="s">
        <v>243</v>
      </c>
      <c r="E75" s="6" t="s">
        <v>259</v>
      </c>
      <c r="F75" s="7" t="s">
        <v>260</v>
      </c>
      <c r="G75" s="7" t="s">
        <v>261</v>
      </c>
      <c r="H75" s="13" t="s">
        <v>107</v>
      </c>
      <c r="I75" s="2" t="s">
        <v>108</v>
      </c>
      <c r="J75" s="7" t="s">
        <v>17</v>
      </c>
    </row>
    <row r="76" customFormat="false" ht="35.05" hidden="false" customHeight="false" outlineLevel="0" collapsed="false">
      <c r="A76" s="2" t="n">
        <v>75</v>
      </c>
      <c r="B76" s="16" t="n">
        <v>8</v>
      </c>
      <c r="C76" s="17" t="s">
        <v>242</v>
      </c>
      <c r="D76" s="5" t="s">
        <v>243</v>
      </c>
      <c r="E76" s="6" t="s">
        <v>262</v>
      </c>
      <c r="F76" s="7" t="s">
        <v>263</v>
      </c>
      <c r="G76" s="7" t="s">
        <v>264</v>
      </c>
      <c r="H76" s="13" t="s">
        <v>107</v>
      </c>
      <c r="I76" s="2" t="s">
        <v>108</v>
      </c>
      <c r="J76" s="7" t="s">
        <v>17</v>
      </c>
    </row>
    <row r="77" customFormat="false" ht="23.85" hidden="false" customHeight="false" outlineLevel="0" collapsed="false">
      <c r="A77" s="2" t="n">
        <v>76</v>
      </c>
      <c r="B77" s="16" t="n">
        <v>8</v>
      </c>
      <c r="C77" s="17" t="s">
        <v>242</v>
      </c>
      <c r="D77" s="5" t="s">
        <v>243</v>
      </c>
      <c r="E77" s="6" t="s">
        <v>265</v>
      </c>
      <c r="F77" s="7" t="s">
        <v>266</v>
      </c>
      <c r="G77" s="7" t="s">
        <v>267</v>
      </c>
      <c r="H77" s="10" t="s">
        <v>24</v>
      </c>
      <c r="I77" s="9" t="s">
        <v>16</v>
      </c>
      <c r="J77" s="7" t="s">
        <v>17</v>
      </c>
    </row>
    <row r="78" customFormat="false" ht="23.85" hidden="false" customHeight="false" outlineLevel="0" collapsed="false">
      <c r="A78" s="2" t="n">
        <v>77</v>
      </c>
      <c r="B78" s="16" t="n">
        <v>8</v>
      </c>
      <c r="C78" s="17" t="s">
        <v>242</v>
      </c>
      <c r="D78" s="5" t="s">
        <v>243</v>
      </c>
      <c r="E78" s="6" t="s">
        <v>268</v>
      </c>
      <c r="F78" s="7" t="s">
        <v>269</v>
      </c>
      <c r="G78" s="7" t="s">
        <v>270</v>
      </c>
      <c r="H78" s="10" t="s">
        <v>24</v>
      </c>
      <c r="I78" s="2" t="s">
        <v>108</v>
      </c>
      <c r="J78" s="7" t="s">
        <v>17</v>
      </c>
    </row>
    <row r="79" customFormat="false" ht="23.85" hidden="false" customHeight="false" outlineLevel="0" collapsed="false">
      <c r="A79" s="2" t="n">
        <v>78</v>
      </c>
      <c r="B79" s="16" t="n">
        <v>8</v>
      </c>
      <c r="C79" s="17" t="s">
        <v>242</v>
      </c>
      <c r="D79" s="5" t="s">
        <v>243</v>
      </c>
      <c r="E79" s="6" t="s">
        <v>271</v>
      </c>
      <c r="F79" s="7" t="s">
        <v>272</v>
      </c>
      <c r="G79" s="7" t="s">
        <v>273</v>
      </c>
      <c r="H79" s="10" t="s">
        <v>24</v>
      </c>
      <c r="I79" s="9" t="s">
        <v>16</v>
      </c>
      <c r="J79" s="7" t="s">
        <v>17</v>
      </c>
    </row>
  </sheetData>
  <autoFilter ref="A1:J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9" min="7" style="0" width="11"/>
  </cols>
  <sheetData>
    <row r="1" customFormat="false" ht="27.75" hidden="false" customHeight="true" outlineLevel="0" collapsed="false">
      <c r="A1" s="1" t="s">
        <v>1</v>
      </c>
      <c r="B1" s="1" t="s">
        <v>2</v>
      </c>
      <c r="C1" s="1" t="s">
        <v>3</v>
      </c>
      <c r="D1" s="1" t="s">
        <v>274</v>
      </c>
      <c r="E1" s="1" t="s">
        <v>15</v>
      </c>
      <c r="F1" s="1" t="s">
        <v>24</v>
      </c>
      <c r="G1" s="1" t="s">
        <v>107</v>
      </c>
      <c r="H1" s="1" t="s">
        <v>275</v>
      </c>
      <c r="I1" s="1" t="s">
        <v>276</v>
      </c>
    </row>
    <row r="2" customFormat="false" ht="15" hidden="false" customHeight="false" outlineLevel="0" collapsed="false">
      <c r="A2" s="18" t="n">
        <v>1</v>
      </c>
      <c r="B2" s="19" t="s">
        <v>10</v>
      </c>
      <c r="C2" s="20" t="s">
        <v>11</v>
      </c>
      <c r="D2" s="18" t="n">
        <f aca="false">COUNTIF('Backlog Priorizado'!$B$2:$B$79,A2)</f>
        <v>6</v>
      </c>
      <c r="E2" s="18" t="n">
        <f aca="false">COUNTIFS('Backlog Priorizado'!$B$2:$B$79,A2,'Backlog Priorizado'!$H$2:$H$79,"Must Have")</f>
        <v>4</v>
      </c>
      <c r="F2" s="18" t="n">
        <f aca="false">COUNTIFS('Backlog Priorizado'!$B$2:$B$79,A2,'Backlog Priorizado'!$H$2:$H$79,"Should Have")</f>
        <v>2</v>
      </c>
      <c r="G2" s="18" t="n">
        <f aca="false">COUNTIFS('Backlog Priorizado'!$B$2:$B$79,A2,'Backlog Priorizado'!$H$2:$H$79,"Could Have")</f>
        <v>0</v>
      </c>
      <c r="H2" s="18" t="n">
        <f aca="false">COUNTIFS('Backlog Priorizado'!$B$2:$B$79,A2,'Backlog Priorizado'!$I$2:$I$79,"Sim")</f>
        <v>6</v>
      </c>
      <c r="I2" s="18" t="n">
        <f aca="false">COUNTIFS('Backlog Priorizado'!$B$2:$B$79,A2,'Backlog Priorizado'!$I$2:$I$79,"Não")</f>
        <v>0</v>
      </c>
    </row>
    <row r="3" customFormat="false" ht="15" hidden="false" customHeight="false" outlineLevel="0" collapsed="false">
      <c r="A3" s="18" t="n">
        <v>2</v>
      </c>
      <c r="B3" s="19" t="s">
        <v>35</v>
      </c>
      <c r="C3" s="20" t="s">
        <v>36</v>
      </c>
      <c r="D3" s="18" t="n">
        <f aca="false">COUNTIF('Backlog Priorizado'!$B$2:$B$79,A3)</f>
        <v>10</v>
      </c>
      <c r="E3" s="18" t="n">
        <f aca="false">COUNTIFS('Backlog Priorizado'!$B$2:$B$79,A3,'Backlog Priorizado'!$H$2:$H$79,"Must Have")</f>
        <v>7</v>
      </c>
      <c r="F3" s="18" t="n">
        <f aca="false">COUNTIFS('Backlog Priorizado'!$B$2:$B$79,A3,'Backlog Priorizado'!$H$2:$H$79,"Should Have")</f>
        <v>3</v>
      </c>
      <c r="G3" s="18" t="n">
        <f aca="false">COUNTIFS('Backlog Priorizado'!$B$2:$B$79,A3,'Backlog Priorizado'!$H$2:$H$79,"Could Have")</f>
        <v>0</v>
      </c>
      <c r="H3" s="18" t="n">
        <f aca="false">COUNTIFS('Backlog Priorizado'!$B$2:$B$79,A3,'Backlog Priorizado'!$I$2:$I$79,"Sim")</f>
        <v>10</v>
      </c>
      <c r="I3" s="18" t="n">
        <f aca="false">COUNTIFS('Backlog Priorizado'!$B$2:$B$79,A3,'Backlog Priorizado'!$I$2:$I$79,"Não")</f>
        <v>0</v>
      </c>
    </row>
    <row r="4" customFormat="false" ht="23.85" hidden="false" customHeight="false" outlineLevel="0" collapsed="false">
      <c r="A4" s="18" t="n">
        <v>3</v>
      </c>
      <c r="B4" s="19" t="s">
        <v>68</v>
      </c>
      <c r="C4" s="20" t="s">
        <v>69</v>
      </c>
      <c r="D4" s="18" t="n">
        <f aca="false">COUNTIF('Backlog Priorizado'!$B$2:$B$79,A4)</f>
        <v>12</v>
      </c>
      <c r="E4" s="18" t="n">
        <f aca="false">COUNTIFS('Backlog Priorizado'!$B$2:$B$79,A4,'Backlog Priorizado'!$H$2:$H$79,"Must Have")</f>
        <v>8</v>
      </c>
      <c r="F4" s="18" t="n">
        <f aca="false">COUNTIFS('Backlog Priorizado'!$B$2:$B$79,A4,'Backlog Priorizado'!$H$2:$H$79,"Should Have")</f>
        <v>3</v>
      </c>
      <c r="G4" s="18" t="n">
        <f aca="false">COUNTIFS('Backlog Priorizado'!$B$2:$B$79,A4,'Backlog Priorizado'!$H$2:$H$79,"Could Have")</f>
        <v>1</v>
      </c>
      <c r="H4" s="18" t="n">
        <f aca="false">COUNTIFS('Backlog Priorizado'!$B$2:$B$79,A4,'Backlog Priorizado'!$I$2:$I$79,"Sim")</f>
        <v>11</v>
      </c>
      <c r="I4" s="18" t="n">
        <f aca="false">COUNTIFS('Backlog Priorizado'!$B$2:$B$79,A4,'Backlog Priorizado'!$I$2:$I$79,"Não")</f>
        <v>1</v>
      </c>
    </row>
    <row r="5" customFormat="false" ht="15" hidden="false" customHeight="false" outlineLevel="0" collapsed="false">
      <c r="A5" s="18" t="n">
        <v>4</v>
      </c>
      <c r="B5" s="19" t="s">
        <v>109</v>
      </c>
      <c r="C5" s="20" t="s">
        <v>110</v>
      </c>
      <c r="D5" s="18" t="n">
        <f aca="false">COUNTIF('Backlog Priorizado'!$B$2:$B$79,A5)</f>
        <v>13</v>
      </c>
      <c r="E5" s="18" t="n">
        <f aca="false">COUNTIFS('Backlog Priorizado'!$B$2:$B$79,A5,'Backlog Priorizado'!$H$2:$H$79,"Must Have")</f>
        <v>12</v>
      </c>
      <c r="F5" s="18" t="n">
        <f aca="false">COUNTIFS('Backlog Priorizado'!$B$2:$B$79,A5,'Backlog Priorizado'!$H$2:$H$79,"Should Have")</f>
        <v>1</v>
      </c>
      <c r="G5" s="18" t="n">
        <f aca="false">COUNTIFS('Backlog Priorizado'!$B$2:$B$79,A5,'Backlog Priorizado'!$H$2:$H$79,"Could Have")</f>
        <v>0</v>
      </c>
      <c r="H5" s="18" t="n">
        <f aca="false">COUNTIFS('Backlog Priorizado'!$B$2:$B$79,A5,'Backlog Priorizado'!$I$2:$I$79,"Sim")</f>
        <v>13</v>
      </c>
      <c r="I5" s="18" t="n">
        <f aca="false">COUNTIFS('Backlog Priorizado'!$B$2:$B$79,A5,'Backlog Priorizado'!$I$2:$I$79,"Não")</f>
        <v>0</v>
      </c>
    </row>
    <row r="6" customFormat="false" ht="23.85" hidden="false" customHeight="false" outlineLevel="0" collapsed="false">
      <c r="A6" s="18" t="n">
        <v>5</v>
      </c>
      <c r="B6" s="19" t="s">
        <v>150</v>
      </c>
      <c r="C6" s="20" t="s">
        <v>151</v>
      </c>
      <c r="D6" s="18" t="n">
        <f aca="false">COUNTIF('Backlog Priorizado'!$B$2:$B$79,A6)</f>
        <v>8</v>
      </c>
      <c r="E6" s="18" t="n">
        <f aca="false">COUNTIFS('Backlog Priorizado'!$B$2:$B$79,A6,'Backlog Priorizado'!$H$2:$H$79,"Must Have")</f>
        <v>7</v>
      </c>
      <c r="F6" s="18" t="n">
        <f aca="false">COUNTIFS('Backlog Priorizado'!$B$2:$B$79,A6,'Backlog Priorizado'!$H$2:$H$79,"Should Have")</f>
        <v>1</v>
      </c>
      <c r="G6" s="18" t="n">
        <f aca="false">COUNTIFS('Backlog Priorizado'!$B$2:$B$79,A6,'Backlog Priorizado'!$H$2:$H$79,"Could Have")</f>
        <v>0</v>
      </c>
      <c r="H6" s="18" t="n">
        <f aca="false">COUNTIFS('Backlog Priorizado'!$B$2:$B$79,A6,'Backlog Priorizado'!$I$2:$I$79,"Sim")</f>
        <v>8</v>
      </c>
      <c r="I6" s="18" t="n">
        <f aca="false">COUNTIFS('Backlog Priorizado'!$B$2:$B$79,A6,'Backlog Priorizado'!$I$2:$I$79,"Não")</f>
        <v>0</v>
      </c>
    </row>
    <row r="7" customFormat="false" ht="23.85" hidden="false" customHeight="false" outlineLevel="0" collapsed="false">
      <c r="A7" s="18" t="n">
        <v>6</v>
      </c>
      <c r="B7" s="19" t="s">
        <v>179</v>
      </c>
      <c r="C7" s="20" t="s">
        <v>180</v>
      </c>
      <c r="D7" s="18" t="n">
        <f aca="false">COUNTIF('Backlog Priorizado'!$B$2:$B$79,A7)</f>
        <v>11</v>
      </c>
      <c r="E7" s="18" t="n">
        <f aca="false">COUNTIFS('Backlog Priorizado'!$B$2:$B$79,A7,'Backlog Priorizado'!$H$2:$H$79,"Must Have")</f>
        <v>9</v>
      </c>
      <c r="F7" s="18" t="n">
        <f aca="false">COUNTIFS('Backlog Priorizado'!$B$2:$B$79,A7,'Backlog Priorizado'!$H$2:$H$79,"Should Have")</f>
        <v>2</v>
      </c>
      <c r="G7" s="18" t="n">
        <f aca="false">COUNTIFS('Backlog Priorizado'!$B$2:$B$79,A7,'Backlog Priorizado'!$H$2:$H$79,"Could Have")</f>
        <v>0</v>
      </c>
      <c r="H7" s="18" t="n">
        <f aca="false">COUNTIFS('Backlog Priorizado'!$B$2:$B$79,A7,'Backlog Priorizado'!$I$2:$I$79,"Sim")</f>
        <v>11</v>
      </c>
      <c r="I7" s="18" t="n">
        <f aca="false">COUNTIFS('Backlog Priorizado'!$B$2:$B$79,A7,'Backlog Priorizado'!$I$2:$I$79,"Não")</f>
        <v>0</v>
      </c>
    </row>
    <row r="8" customFormat="false" ht="15" hidden="false" customHeight="false" outlineLevel="0" collapsed="false">
      <c r="A8" s="18" t="n">
        <v>7</v>
      </c>
      <c r="B8" s="19" t="s">
        <v>215</v>
      </c>
      <c r="C8" s="20" t="s">
        <v>216</v>
      </c>
      <c r="D8" s="18" t="n">
        <f aca="false">COUNTIF('Backlog Priorizado'!$B$2:$B$79,A8)</f>
        <v>8</v>
      </c>
      <c r="E8" s="18" t="n">
        <f aca="false">COUNTIFS('Backlog Priorizado'!$B$2:$B$79,A8,'Backlog Priorizado'!$H$2:$H$79,"Must Have")</f>
        <v>7</v>
      </c>
      <c r="F8" s="18" t="n">
        <f aca="false">COUNTIFS('Backlog Priorizado'!$B$2:$B$79,A8,'Backlog Priorizado'!$H$2:$H$79,"Should Have")</f>
        <v>1</v>
      </c>
      <c r="G8" s="18" t="n">
        <f aca="false">COUNTIFS('Backlog Priorizado'!$B$2:$B$79,A8,'Backlog Priorizado'!$H$2:$H$79,"Could Have")</f>
        <v>0</v>
      </c>
      <c r="H8" s="18" t="n">
        <f aca="false">COUNTIFS('Backlog Priorizado'!$B$2:$B$79,A8,'Backlog Priorizado'!$I$2:$I$79,"Sim")</f>
        <v>8</v>
      </c>
      <c r="I8" s="18" t="n">
        <f aca="false">COUNTIFS('Backlog Priorizado'!$B$2:$B$79,A8,'Backlog Priorizado'!$I$2:$I$79,"Não")</f>
        <v>0</v>
      </c>
    </row>
    <row r="9" customFormat="false" ht="23.85" hidden="false" customHeight="false" outlineLevel="0" collapsed="false">
      <c r="A9" s="18" t="n">
        <v>8</v>
      </c>
      <c r="B9" s="19" t="s">
        <v>242</v>
      </c>
      <c r="C9" s="20" t="s">
        <v>243</v>
      </c>
      <c r="D9" s="18" t="n">
        <f aca="false">COUNTIF('Backlog Priorizado'!$B$2:$B$79,A9)</f>
        <v>10</v>
      </c>
      <c r="E9" s="18" t="n">
        <f aca="false">COUNTIFS('Backlog Priorizado'!$B$2:$B$79,A9,'Backlog Priorizado'!$H$2:$H$79,"Must Have")</f>
        <v>2</v>
      </c>
      <c r="F9" s="18" t="n">
        <f aca="false">COUNTIFS('Backlog Priorizado'!$B$2:$B$79,A9,'Backlog Priorizado'!$H$2:$H$79,"Should Have")</f>
        <v>5</v>
      </c>
      <c r="G9" s="18" t="n">
        <f aca="false">COUNTIFS('Backlog Priorizado'!$B$2:$B$79,A9,'Backlog Priorizado'!$H$2:$H$79,"Could Have")</f>
        <v>3</v>
      </c>
      <c r="H9" s="18" t="n">
        <f aca="false">COUNTIFS('Backlog Priorizado'!$B$2:$B$79,A9,'Backlog Priorizado'!$I$2:$I$79,"Sim")</f>
        <v>6</v>
      </c>
      <c r="I9" s="18" t="n">
        <f aca="false">COUNTIFS('Backlog Priorizado'!$B$2:$B$79,A9,'Backlog Priorizado'!$I$2:$I$79,"Não")</f>
        <v>4</v>
      </c>
    </row>
    <row r="10" customFormat="false" ht="15" hidden="false" customHeight="false" outlineLevel="0" collapsed="false">
      <c r="A10" s="21"/>
      <c r="B10" s="21"/>
      <c r="C10" s="22" t="s">
        <v>277</v>
      </c>
      <c r="D10" s="22" t="n">
        <f aca="false">SUM(D2:D9)</f>
        <v>78</v>
      </c>
      <c r="E10" s="22" t="n">
        <f aca="false">SUM(E2:E9)</f>
        <v>56</v>
      </c>
      <c r="F10" s="22" t="n">
        <f aca="false">SUM(F2:F9)</f>
        <v>18</v>
      </c>
      <c r="G10" s="22" t="n">
        <f aca="false">SUM(G2:G9)</f>
        <v>4</v>
      </c>
      <c r="H10" s="22" t="n">
        <f aca="false">SUM(H2:H9)</f>
        <v>73</v>
      </c>
      <c r="I10" s="22" t="n">
        <f aca="false">SUM(I2:I9)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2026-08-29T04:43:57Z</dcterms:created>
  <dc:creator>openpyxl</dc:creator>
  <dc:description/>
  <dc:language>en-US</dc:language>
  <cp:lastModifiedBy/>
  <dcterms:modified xsi:type="dcterms:W3CDTF">2026-08-29T04:43:57Z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